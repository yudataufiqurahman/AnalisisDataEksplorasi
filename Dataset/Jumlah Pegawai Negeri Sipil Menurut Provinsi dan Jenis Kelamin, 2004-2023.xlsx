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D:\KULIAH\ADE\"/>
    </mc:Choice>
  </mc:AlternateContent>
  <xr:revisionPtr revIDLastSave="0" documentId="13_ncr:1_{07738480-6922-480C-9361-ACAC7AED4644}" xr6:coauthVersionLast="47" xr6:coauthVersionMax="47" xr10:uidLastSave="{00000000-0000-0000-0000-000000000000}"/>
  <bookViews>
    <workbookView xWindow="-120" yWindow="-120" windowWidth="20730" windowHeight="11160" firstSheet="1" activeTab="2" xr2:uid="{00000000-000D-0000-FFFF-FFFF00000000}"/>
  </bookViews>
  <sheets>
    <sheet name="provinsi" sheetId="1" r:id="rId1"/>
    <sheet name="Sheet1" sheetId="2" r:id="rId2"/>
    <sheet name="Sheet3" sheetId="4" r:id="rId3"/>
    <sheet name="Sheet2" sheetId="3" r:id="rId4"/>
  </sheets>
  <definedNames>
    <definedName name="_xlchart.v1.0" hidden="1">Sheet1!$B$5:$B$43</definedName>
    <definedName name="_xlchart.v1.1" hidden="1">Sheet1!$C$5:$C$43</definedName>
    <definedName name="_xlchart.v1.2" hidden="1">Sheet1!$D$5:$D$43</definedName>
    <definedName name="_xlchart.v1.3" hidden="1">Sheet3!$I$45:$I$82</definedName>
    <definedName name="_xlchart.v1.4" hidden="1">Sheet3!$J$45:$J$82</definedName>
    <definedName name="_xlchart.v1.5" hidden="1">Sheet3!$K$45:$K$82</definedName>
    <definedName name="_xlnm.Print_Area" localSheetId="0">provinsi!$A$1:$K$152</definedName>
  </definedNames>
  <calcPr calcId="181029"/>
</workbook>
</file>

<file path=xl/calcChain.xml><?xml version="1.0" encoding="utf-8"?>
<calcChain xmlns="http://schemas.openxmlformats.org/spreadsheetml/2006/main">
  <c r="K46" i="4" l="1"/>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45" i="4"/>
  <c r="G47" i="4"/>
  <c r="G46" i="4"/>
  <c r="G45" i="4"/>
  <c r="I46" i="4" s="1"/>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45" i="4"/>
  <c r="K32" i="4"/>
  <c r="N29" i="4" s="1"/>
  <c r="K31" i="4"/>
  <c r="K30" i="4"/>
  <c r="K29" i="4"/>
  <c r="Q4" i="4"/>
  <c r="Q3" i="4"/>
  <c r="Q2" i="4"/>
  <c r="N4" i="4"/>
  <c r="N3" i="4"/>
  <c r="N2" i="4"/>
  <c r="K4" i="4"/>
  <c r="K3" i="4"/>
  <c r="K2" i="4"/>
  <c r="I82" i="4" l="1"/>
  <c r="I78" i="4"/>
  <c r="I70" i="4"/>
  <c r="I81" i="4"/>
  <c r="I77" i="4"/>
  <c r="I73" i="4"/>
  <c r="I69" i="4"/>
  <c r="I65" i="4"/>
  <c r="I61" i="4"/>
  <c r="I57" i="4"/>
  <c r="I53" i="4"/>
  <c r="I49" i="4"/>
  <c r="I80" i="4"/>
  <c r="I76" i="4"/>
  <c r="I72" i="4"/>
  <c r="I68" i="4"/>
  <c r="I64" i="4"/>
  <c r="I60" i="4"/>
  <c r="I56" i="4"/>
  <c r="I52" i="4"/>
  <c r="I48" i="4"/>
  <c r="I45" i="4"/>
  <c r="I79" i="4"/>
  <c r="I75" i="4"/>
  <c r="I71" i="4"/>
  <c r="I67" i="4"/>
  <c r="I63" i="4"/>
  <c r="I59" i="4"/>
  <c r="I55" i="4"/>
  <c r="I51" i="4"/>
  <c r="I47" i="4"/>
  <c r="I74" i="4"/>
  <c r="I66" i="4"/>
  <c r="I62" i="4"/>
  <c r="I58" i="4"/>
  <c r="I54" i="4"/>
  <c r="I50" i="4"/>
  <c r="Q5" i="4"/>
  <c r="K11" i="4" s="1"/>
  <c r="N5" i="4"/>
  <c r="K10" i="4" s="1"/>
  <c r="K5" i="4"/>
  <c r="K9" i="4" s="1"/>
  <c r="H4" i="4"/>
  <c r="H3" i="4"/>
  <c r="H2" i="4"/>
  <c r="L28" i="3"/>
  <c r="O28" i="3"/>
  <c r="O8" i="3"/>
  <c r="O9" i="3"/>
  <c r="O10" i="3"/>
  <c r="O11" i="3"/>
  <c r="O12" i="3"/>
  <c r="O13" i="3"/>
  <c r="O14" i="3"/>
  <c r="O15" i="3"/>
  <c r="O16" i="3"/>
  <c r="O17" i="3"/>
  <c r="O18" i="3"/>
  <c r="O19" i="3"/>
  <c r="O20" i="3"/>
  <c r="O21" i="3"/>
  <c r="O22" i="3"/>
  <c r="O23" i="3"/>
  <c r="O24" i="3"/>
  <c r="O25" i="3"/>
  <c r="O26" i="3"/>
  <c r="O27" i="3"/>
  <c r="N8" i="3"/>
  <c r="K8" i="3"/>
  <c r="K9" i="3"/>
  <c r="K10" i="3"/>
  <c r="K11" i="3"/>
  <c r="K12" i="3"/>
  <c r="K13" i="3"/>
  <c r="K14" i="3"/>
  <c r="K15" i="3"/>
  <c r="L15" i="3" s="1"/>
  <c r="K16" i="3"/>
  <c r="K17" i="3"/>
  <c r="K18" i="3"/>
  <c r="K19" i="3"/>
  <c r="L19" i="3" s="1"/>
  <c r="K20" i="3"/>
  <c r="K21" i="3"/>
  <c r="K22" i="3"/>
  <c r="K23" i="3"/>
  <c r="L23" i="3" s="1"/>
  <c r="K24" i="3"/>
  <c r="K25" i="3"/>
  <c r="K26" i="3"/>
  <c r="K27" i="3"/>
  <c r="L27" i="3" s="1"/>
  <c r="K7" i="3"/>
  <c r="L14" i="3"/>
  <c r="L7" i="3"/>
  <c r="L8" i="3"/>
  <c r="L9" i="3"/>
  <c r="L10" i="3"/>
  <c r="L11" i="3"/>
  <c r="L12" i="3"/>
  <c r="L13" i="3"/>
  <c r="L16" i="3"/>
  <c r="L17" i="3"/>
  <c r="L18" i="3"/>
  <c r="L20" i="3"/>
  <c r="L21" i="3"/>
  <c r="L22" i="3"/>
  <c r="L24" i="3"/>
  <c r="L25" i="3"/>
  <c r="L26" i="3"/>
  <c r="G6" i="3"/>
  <c r="D6" i="3"/>
  <c r="D10" i="3"/>
  <c r="D14" i="3"/>
  <c r="D18" i="3"/>
  <c r="D22" i="3"/>
  <c r="D26" i="3"/>
  <c r="D30" i="3"/>
  <c r="D34" i="3"/>
  <c r="D38" i="3"/>
  <c r="D42" i="3"/>
  <c r="C6" i="3"/>
  <c r="C7" i="3"/>
  <c r="D7" i="3" s="1"/>
  <c r="C8" i="3"/>
  <c r="D8" i="3" s="1"/>
  <c r="C9" i="3"/>
  <c r="D9" i="3" s="1"/>
  <c r="C10" i="3"/>
  <c r="C11" i="3"/>
  <c r="D11" i="3" s="1"/>
  <c r="C12" i="3"/>
  <c r="D12" i="3" s="1"/>
  <c r="C13" i="3"/>
  <c r="D13" i="3" s="1"/>
  <c r="C14" i="3"/>
  <c r="C15" i="3"/>
  <c r="D15" i="3" s="1"/>
  <c r="C16" i="3"/>
  <c r="D16" i="3" s="1"/>
  <c r="C17" i="3"/>
  <c r="D17" i="3" s="1"/>
  <c r="C18" i="3"/>
  <c r="C19" i="3"/>
  <c r="D19" i="3" s="1"/>
  <c r="C20" i="3"/>
  <c r="D20" i="3" s="1"/>
  <c r="C21" i="3"/>
  <c r="D21" i="3" s="1"/>
  <c r="C22" i="3"/>
  <c r="C23" i="3"/>
  <c r="D23" i="3" s="1"/>
  <c r="C24" i="3"/>
  <c r="D24" i="3" s="1"/>
  <c r="C25" i="3"/>
  <c r="D25" i="3" s="1"/>
  <c r="C26" i="3"/>
  <c r="C27" i="3"/>
  <c r="D27" i="3" s="1"/>
  <c r="C28" i="3"/>
  <c r="D28" i="3" s="1"/>
  <c r="C29" i="3"/>
  <c r="D29" i="3" s="1"/>
  <c r="C30" i="3"/>
  <c r="C31" i="3"/>
  <c r="D31" i="3" s="1"/>
  <c r="C32" i="3"/>
  <c r="D32" i="3" s="1"/>
  <c r="C33" i="3"/>
  <c r="D33" i="3" s="1"/>
  <c r="C34" i="3"/>
  <c r="C35" i="3"/>
  <c r="D35" i="3" s="1"/>
  <c r="C36" i="3"/>
  <c r="D36" i="3" s="1"/>
  <c r="C37" i="3"/>
  <c r="D37" i="3" s="1"/>
  <c r="C38" i="3"/>
  <c r="C39" i="3"/>
  <c r="D39" i="3" s="1"/>
  <c r="C40" i="3"/>
  <c r="D40" i="3" s="1"/>
  <c r="C41" i="3"/>
  <c r="D41" i="3" s="1"/>
  <c r="C42" i="3"/>
  <c r="C5" i="3"/>
  <c r="D5" i="3" s="1"/>
  <c r="V150" i="1"/>
  <c r="U150" i="1"/>
  <c r="Q150" i="1"/>
  <c r="P150" i="1"/>
  <c r="O150" i="1"/>
  <c r="M150" i="1"/>
  <c r="L150" i="1"/>
  <c r="V99" i="1"/>
  <c r="V48" i="1" s="1"/>
  <c r="U99" i="1"/>
  <c r="Q99" i="1"/>
  <c r="P99" i="1"/>
  <c r="O99" i="1"/>
  <c r="M99" i="1"/>
  <c r="L99" i="1"/>
  <c r="U48" i="1"/>
  <c r="P48" i="1"/>
  <c r="O48" i="1"/>
  <c r="M48" i="1"/>
  <c r="K48" i="1"/>
  <c r="U47" i="1"/>
  <c r="Q47" i="1"/>
  <c r="U43" i="1"/>
  <c r="Q43" i="1"/>
  <c r="M43" i="1"/>
  <c r="K43" i="1"/>
  <c r="U41" i="1"/>
  <c r="Q41" i="1"/>
  <c r="M41" i="1"/>
  <c r="K41" i="1"/>
  <c r="U40" i="1"/>
  <c r="Q40" i="1"/>
  <c r="M40" i="1"/>
  <c r="K40" i="1"/>
  <c r="U39" i="1"/>
  <c r="Q39" i="1"/>
  <c r="M39" i="1"/>
  <c r="K39" i="1"/>
  <c r="U38" i="1"/>
  <c r="Q38" i="1"/>
  <c r="M38" i="1"/>
  <c r="K38" i="1"/>
  <c r="U37" i="1"/>
  <c r="Q37" i="1"/>
  <c r="M37" i="1"/>
  <c r="K37" i="1"/>
  <c r="U36" i="1"/>
  <c r="Q36" i="1"/>
  <c r="M36" i="1"/>
  <c r="K36" i="1"/>
  <c r="U35" i="1"/>
  <c r="Q35" i="1"/>
  <c r="M35" i="1"/>
  <c r="K35" i="1"/>
  <c r="U34" i="1"/>
  <c r="Q34" i="1"/>
  <c r="M34" i="1"/>
  <c r="K34" i="1"/>
  <c r="U33" i="1"/>
  <c r="Q33" i="1"/>
  <c r="M33" i="1"/>
  <c r="K33" i="1"/>
  <c r="U32" i="1"/>
  <c r="Q32" i="1"/>
  <c r="M32" i="1"/>
  <c r="U31" i="1"/>
  <c r="Q31" i="1"/>
  <c r="M31" i="1"/>
  <c r="K31" i="1"/>
  <c r="U30" i="1"/>
  <c r="Q30" i="1"/>
  <c r="M30" i="1"/>
  <c r="K30" i="1"/>
  <c r="U29" i="1"/>
  <c r="Q29" i="1"/>
  <c r="M29" i="1"/>
  <c r="K29" i="1"/>
  <c r="U28" i="1"/>
  <c r="Q28" i="1"/>
  <c r="M28" i="1"/>
  <c r="K28" i="1"/>
  <c r="U27" i="1"/>
  <c r="Q27" i="1"/>
  <c r="M27" i="1"/>
  <c r="K27" i="1"/>
  <c r="U26" i="1"/>
  <c r="Q26" i="1"/>
  <c r="M26" i="1"/>
  <c r="K26" i="1"/>
  <c r="U25" i="1"/>
  <c r="Q25" i="1"/>
  <c r="M25" i="1"/>
  <c r="K25" i="1"/>
  <c r="U24" i="1"/>
  <c r="Q24" i="1"/>
  <c r="M24" i="1"/>
  <c r="K24" i="1"/>
  <c r="U23" i="1"/>
  <c r="Q23" i="1"/>
  <c r="M23" i="1"/>
  <c r="K23" i="1"/>
  <c r="U22" i="1"/>
  <c r="Q22" i="1"/>
  <c r="M22" i="1"/>
  <c r="K22" i="1"/>
  <c r="U21" i="1"/>
  <c r="Q21" i="1"/>
  <c r="M21" i="1"/>
  <c r="K21" i="1"/>
  <c r="U20" i="1"/>
  <c r="Q20" i="1"/>
  <c r="M20" i="1"/>
  <c r="K20" i="1"/>
  <c r="U19" i="1"/>
  <c r="Q19" i="1"/>
  <c r="M19" i="1"/>
  <c r="K19" i="1"/>
  <c r="U18" i="1"/>
  <c r="Q18" i="1"/>
  <c r="M18" i="1"/>
  <c r="K18" i="1"/>
  <c r="U17" i="1"/>
  <c r="Q17" i="1"/>
  <c r="M17" i="1"/>
  <c r="K17" i="1"/>
  <c r="U16" i="1"/>
  <c r="Q16" i="1"/>
  <c r="M16" i="1"/>
  <c r="K16" i="1"/>
  <c r="U15" i="1"/>
  <c r="Q15" i="1"/>
  <c r="M15" i="1"/>
  <c r="K15" i="1"/>
  <c r="U14" i="1"/>
  <c r="Q14" i="1"/>
  <c r="M14" i="1"/>
  <c r="K14" i="1"/>
  <c r="U13" i="1"/>
  <c r="Q13" i="1"/>
  <c r="M13" i="1"/>
  <c r="K13" i="1"/>
  <c r="U12" i="1"/>
  <c r="Q12" i="1"/>
  <c r="M12" i="1"/>
  <c r="K12" i="1"/>
  <c r="U11" i="1"/>
  <c r="Q11" i="1"/>
  <c r="M11" i="1"/>
  <c r="K11" i="1"/>
  <c r="U10" i="1"/>
  <c r="Q10" i="1"/>
  <c r="M10" i="1"/>
  <c r="K10" i="1"/>
  <c r="U9" i="1"/>
  <c r="Q9" i="1"/>
  <c r="Q48" i="1" s="1"/>
  <c r="M9" i="1"/>
  <c r="K9" i="1"/>
  <c r="G7" i="3" l="1"/>
  <c r="N9" i="3"/>
  <c r="O7" i="3"/>
</calcChain>
</file>

<file path=xl/sharedStrings.xml><?xml version="1.0" encoding="utf-8"?>
<sst xmlns="http://schemas.openxmlformats.org/spreadsheetml/2006/main" count="459" uniqueCount="145">
  <si>
    <t>PEGAWAI  NEGERI  SIPIL (PNS) MENURUT PROVINSI</t>
  </si>
  <si>
    <t xml:space="preserve">TAHUN 2004 - 2023  </t>
  </si>
  <si>
    <t>Total</t>
  </si>
  <si>
    <t>Propinsi</t>
  </si>
  <si>
    <t>(1)</t>
  </si>
  <si>
    <t>(2)</t>
  </si>
  <si>
    <t>(3)</t>
  </si>
  <si>
    <t>(4)</t>
  </si>
  <si>
    <t>(5)</t>
  </si>
  <si>
    <t>(6)</t>
  </si>
  <si>
    <t>(7)</t>
  </si>
  <si>
    <t>(8)</t>
  </si>
  <si>
    <t>(9)</t>
  </si>
  <si>
    <t>(10)</t>
  </si>
  <si>
    <t>(11)</t>
  </si>
  <si>
    <t>(12)</t>
  </si>
  <si>
    <t>(13)</t>
  </si>
  <si>
    <t>(14)</t>
  </si>
  <si>
    <t>(15)</t>
  </si>
  <si>
    <t>(16)</t>
  </si>
  <si>
    <t>(17)</t>
  </si>
  <si>
    <t>(18)</t>
  </si>
  <si>
    <t>(19)</t>
  </si>
  <si>
    <t>(20)</t>
  </si>
  <si>
    <t>(21)</t>
  </si>
  <si>
    <t>Aceh</t>
  </si>
  <si>
    <t>Sumatera Utara</t>
  </si>
  <si>
    <t>Sumatera Barat</t>
  </si>
  <si>
    <t>Riau</t>
  </si>
  <si>
    <t>Jambi</t>
  </si>
  <si>
    <t>Sumatera Selatan</t>
  </si>
  <si>
    <t>Bengkulu</t>
  </si>
  <si>
    <t>Lampung</t>
  </si>
  <si>
    <t>Kepulauan Bangka Belitung</t>
  </si>
  <si>
    <t>Kepulauan Riau</t>
  </si>
  <si>
    <t>DKI Jakarta</t>
  </si>
  <si>
    <t>*)</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</si>
  <si>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</si>
  <si>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</si>
  <si>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</si>
  <si>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</si>
  <si>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</si>
  <si>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</si>
  <si>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</si>
  <si>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</si>
  <si>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</si>
  <si>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</si>
  <si>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</si>
  <si>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</si>
  <si>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</si>
  <si>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</si>
  <si>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</si>
  <si>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</si>
  <si>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</si>
  <si>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</si>
  <si>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</si>
  <si>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</si>
  <si>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</si>
  <si>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</si>
  <si>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</si>
  <si>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</si>
  <si>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</si>
  <si>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</si>
  <si>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</si>
  <si>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</si>
  <si>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Luar Negeri</t>
  </si>
  <si>
    <t>JUMLAH</t>
  </si>
  <si>
    <t>Sumber : Badan Kepegawaian Negara (BKN)</t>
  </si>
  <si>
    <t>*) Termasuk PNS yang bekerja di Instansi Pusat (Kementerian dan Non-Kementerian)</t>
  </si>
  <si>
    <t>Laki-laki</t>
  </si>
  <si>
    <t>Perempuan</t>
  </si>
  <si>
    <t>Interpretasi</t>
  </si>
  <si>
    <t>Dengan melakukan visualisasi dengan boxplot, ketiga kelompok data yakni jumlah pns di setiap provinsi di Indonesia pada tahun 2021, 2022, dan 2023 dapat dilihat bahwa terdapat Jumlah PNS yang sangat tinggi diluar batas atas data sebanyak 4 Provinsi pada tahun 2022 dan 2023, sedangkan pada tahun 2021 terdapat 3 Provinsi yang memiliki Jumlah PNS yang sangat tinggi melebihi batas maksimum. Dan dapat dilihat bahwa data ketiga tahun mendekati distribusi normal dengan melihat median yang berada ditengah kotak.</t>
  </si>
  <si>
    <t>Mean</t>
  </si>
  <si>
    <t>Standard Error</t>
  </si>
  <si>
    <t>Median</t>
  </si>
  <si>
    <t>Mode</t>
  </si>
  <si>
    <t>Standard Deviation</t>
  </si>
  <si>
    <t>Sample Variance</t>
  </si>
  <si>
    <t>Kurtosis</t>
  </si>
  <si>
    <t>Skewness</t>
  </si>
  <si>
    <t>Range</t>
  </si>
  <si>
    <t>Minimum</t>
  </si>
  <si>
    <t>Maximum</t>
  </si>
  <si>
    <t>Sum</t>
  </si>
  <si>
    <t>Count</t>
  </si>
  <si>
    <t>0.15 </t>
  </si>
  <si>
    <t>0.09 </t>
  </si>
  <si>
    <t>0.18 </t>
  </si>
  <si>
    <t>0.05 </t>
  </si>
  <si>
    <t> </t>
  </si>
  <si>
    <t>0.08 </t>
  </si>
  <si>
    <t>0.02 </t>
  </si>
  <si>
    <t>0.01 </t>
  </si>
  <si>
    <t>0.10 </t>
  </si>
  <si>
    <t>X2021</t>
  </si>
  <si>
    <t>X2022</t>
  </si>
  <si>
    <t>X2023</t>
  </si>
  <si>
    <t>Log(MED 2022)</t>
  </si>
  <si>
    <t>Log(MED 2023)</t>
  </si>
  <si>
    <t>Log(MED 2021)</t>
  </si>
  <si>
    <t>Q1</t>
  </si>
  <si>
    <t>Q2</t>
  </si>
  <si>
    <t>Q3</t>
  </si>
  <si>
    <t>IQR</t>
  </si>
  <si>
    <t>d1</t>
  </si>
  <si>
    <t>d2</t>
  </si>
  <si>
    <t>d3</t>
  </si>
  <si>
    <t>Log10(IQR 2022)</t>
  </si>
  <si>
    <t>Log10(IQR 2023)</t>
  </si>
  <si>
    <t>Log10(IQR 2021)</t>
  </si>
  <si>
    <t>SUMMARY OUTPUT</t>
  </si>
  <si>
    <t>Regression Statistics</t>
  </si>
  <si>
    <t>Multiple R</t>
  </si>
  <si>
    <t>R Square</t>
  </si>
  <si>
    <t>Adjusted R Square</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</si>
  <si>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</si>
  <si>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</si>
  <si>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</si>
  <si>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</si>
  <si>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</si>
  <si>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</si>
  <si>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</si>
  <si>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</si>
  <si>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</si>
  <si>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</si>
  <si>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</si>
  <si>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</si>
  <si>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</si>
  <si>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</si>
  <si>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</si>
  <si>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</si>
  <si>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</si>
  <si>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</si>
  <si>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XA</t>
  </si>
  <si>
    <t>XB</t>
  </si>
  <si>
    <t>YA</t>
  </si>
  <si>
    <t>YB</t>
  </si>
  <si>
    <t>Nisbah</t>
  </si>
  <si>
    <t>MEDIAN 2021 (TRANS)</t>
  </si>
  <si>
    <t>MEDIAN 2022 (TRANS)</t>
  </si>
  <si>
    <t>MEDIAN 2023 (TRANS)</t>
  </si>
  <si>
    <t>YY1</t>
  </si>
  <si>
    <t>YY2</t>
  </si>
  <si>
    <t>YY3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</si>
</sst>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i/>
      <sz val="12"/>
      <color theme="1"/>
      <name val="Calibri"/>
      <family val="2"/>
      <scheme val="minor"/>
    </font>
    <font>
      <sz val="27.95"/>
      <color rgb="FF000000"/>
      <name val="Arial"/>
      <family val="2"/>
    </font>
  </fonts>
  <fills count="10">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1">
    <xf numFmtId="0" fontId="0" fillId="0" borderId="0" xfId="0"/>
    <xf numFmtId="0" fontId="0" fillId="0" borderId="1" xfId="0" applyBorder="1"/>
    <xf numFmtId="0" fontId="0" fillId="0" borderId="2" xfId="0" applyBorder="1"/>
    <xf numFmtId="0" fontId="2" fillId="0" borderId="3" xfId="0" applyFont="1" applyBorder="1" applyAlignment="1">
      <alignment horizontal="centerContinuous"/>
    </xf>
    <xf numFmtId="0" fontId="3" fillId="0" borderId="0" xfId="0" applyFont="1" applyAlignment="1">
      <alignment vertical="center"/>
    </xf>
    <xf numFmtId="2" fontId="3" fillId="0" borderId="0" xfId="0" applyNumberFormat="1" applyFont="1" applyAlignment="1">
      <alignment vertical="center"/>
    </xf>
    <xf numFmtId="2" fontId="0" fillId="0" borderId="0" xfId="0" applyNumberFormat="1"/>
    <xf numFmtId="0" fontId="0" fillId="3" borderId="1" xfId="0" applyFill="1" applyBorder="1"/>
    <xf numFmtId="0" fontId="0" fillId="0" borderId="1" xfId="0" quotePrefix="1" applyBorder="1"/>
    <xf numFmtId="0" fontId="0" fillId="4" borderId="1" xfId="0" applyFill="1" applyBorder="1"/>
    <xf numFmtId="0" fontId="0" fillId="5" borderId="1" xfId="0" applyFill="1" applyBorder="1"/>
    <xf numFmtId="0" fontId="2" fillId="0" borderId="3" xfId="0" applyFont="1" applyBorder="1" applyAlignment="1">
      <alignment horizontal="center"/>
    </xf>
    <xf numFmtId="0" fontId="0" fillId="6" borderId="1" xfId="0" applyFill="1" applyBorder="1"/>
    <xf numFmtId="0" fontId="0" fillId="7" borderId="1" xfId="0" applyFill="1" applyBorder="1"/>
    <xf numFmtId="0" fontId="0" fillId="8" borderId="1" xfId="0" applyFill="1" applyBorder="1"/>
    <xf numFmtId="0" fontId="0" fillId="0" borderId="0" xfId="0"/>
    <xf numFmtId="0" fontId="0" fillId="0" borderId="1" xfId="0" applyBorder="1" applyAlignment="1">
      <alignment horizontal="center" vertical="center" wrapText="1"/>
    </xf>
    <xf numFmtId="0" fontId="1" fillId="2" borderId="1" xfId="0" applyFont="1"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9" borderId="1" xfId="0"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data id="2">
      <cx:numDim type="val">
        <cx:f>_xlchart.v1.2</cx:f>
      </cx:numDim>
    </cx:data>
  </cx:chartData>
  <cx:chart>
    <cx:title pos="t" align="ctr" overlay="0">
      <cx:tx>
        <cx:txData>
          <cx:v>Jumlah Pegawai Negeri Sipil Setiap Provinsi di Indonesia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Jumlah Pegawai Negeri Sipil Setiap Provinsi di Indonesia</a:t>
          </a:r>
        </a:p>
      </cx:txPr>
    </cx:title>
    <cx:plotArea>
      <cx:plotAreaRegion>
        <cx:series layoutId="boxWhisker" uniqueId="{344EFA3D-3FEF-46B0-92F6-E4377D73950A}">
          <cx:tx>
            <cx:txData>
              <cx:f/>
              <cx:v>2021</cx:v>
            </cx:txData>
          </cx:tx>
          <cx:spPr>
            <a:ln w="6350" cap="flat" cmpd="sng">
              <a:solidFill>
                <a:schemeClr val="tx1"/>
              </a:solidFill>
            </a:ln>
          </cx:spPr>
          <cx:dataId val="0"/>
          <cx:layoutPr>
            <cx:visibility meanMarker="0" nonoutliers="0"/>
            <cx:statistics quartileMethod="exclusive"/>
          </cx:layoutPr>
        </cx:series>
        <cx:series layoutId="boxWhisker" uniqueId="{C47B50A1-7C44-400D-B110-93033A145326}">
          <cx:tx>
            <cx:txData>
              <cx:f/>
              <cx:v>2022</cx:v>
            </cx:txData>
          </cx:tx>
          <cx:spPr>
            <a:ln w="6350" cmpd="sng">
              <a:solidFill>
                <a:schemeClr val="tx1"/>
              </a:solidFill>
            </a:ln>
          </cx:spPr>
          <cx:dataId val="1"/>
          <cx:layoutPr>
            <cx:visibility meanMarker="0" nonoutliers="0"/>
            <cx:statistics quartileMethod="exclusive"/>
          </cx:layoutPr>
        </cx:series>
        <cx:series layoutId="boxWhisker" uniqueId="{2B9F4E50-BCEC-4CC6-A929-20C98FAA5D59}">
          <cx:tx>
            <cx:txData>
              <cx:f/>
              <cx:v>2023</cx:v>
            </cx:txData>
          </cx:tx>
          <cx:spPr>
            <a:ln w="6350" cmpd="sng">
              <a:solidFill>
                <a:schemeClr val="tx1"/>
              </a:solidFill>
            </a:ln>
          </cx:spPr>
          <cx:dataId val="2"/>
          <cx:layoutPr>
            <cx:visibility meanLine="0" meanMarker="0" nonoutliers="0"/>
            <cx:statistics quartileMethod="exclusive"/>
          </cx:layoutPr>
        </cx:series>
      </cx:plotAreaRegion>
      <cx:axis id="0">
        <cx:catScaling gapWidth="1"/>
        <cx:title>
          <cx:tx>
            <cx:txData>
              <cx:v>Tahun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Tahun</a:t>
              </a:r>
            </a:p>
          </cx:txPr>
        </cx:title>
        <cx:tickLabels/>
      </cx:axis>
      <cx:axis id="1">
        <cx:valScaling/>
        <cx:title>
          <cx:tx>
            <cx:txData>
              <cx:v>Jumlah PNS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Jumlah PNS</a:t>
              </a:r>
            </a:p>
          </cx:txPr>
        </cx:title>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_xlchart.v1.4</cx:f>
      </cx:numDim>
    </cx:data>
    <cx:data id="2">
      <cx:numDim type="val">
        <cx:f>_xlchart.v1.5</cx:f>
      </cx:numDim>
    </cx:data>
  </cx:chartData>
  <cx:chart>
    <cx:title pos="t" align="ctr" overlay="0"/>
    <cx:plotArea>
      <cx:plotAreaRegion>
        <cx:series layoutId="boxWhisker" uniqueId="{4807A468-3449-4B8B-855B-AC24CB754DB9}">
          <cx:dataId val="0"/>
          <cx:layoutPr>
            <cx:visibility meanLine="0" meanMarker="1" nonoutliers="0" outliers="1"/>
            <cx:statistics quartileMethod="exclusive"/>
          </cx:layoutPr>
        </cx:series>
        <cx:series layoutId="boxWhisker" uniqueId="{D5971963-E856-4909-B7C4-EC9D9E99C37E}">
          <cx:dataId val="1"/>
          <cx:layoutPr>
            <cx:visibility meanLine="0" meanMarker="1" nonoutliers="0" outliers="1"/>
            <cx:statistics quartileMethod="exclusive"/>
          </cx:layoutPr>
        </cx:series>
        <cx:series layoutId="boxWhisker" uniqueId="{C25841B0-1879-4EC5-B56A-EA91B60B36A6}">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219076</xdr:colOff>
      <xdr:row>24</xdr:row>
      <xdr:rowOff>47625</xdr:rowOff>
    </xdr:from>
    <xdr:to>
      <xdr:col>13</xdr:col>
      <xdr:colOff>381000</xdr:colOff>
      <xdr:row>44</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3771AEF-02BB-9E9E-C30F-FA12FF4FBF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10001" y="4848225"/>
              <a:ext cx="6334124" cy="4010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4762</xdr:colOff>
      <xdr:row>64</xdr:row>
      <xdr:rowOff>0</xdr:rowOff>
    </xdr:from>
    <xdr:to>
      <xdr:col>18</xdr:col>
      <xdr:colOff>461962</xdr:colOff>
      <xdr:row>77</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F2D2293-97A4-B0F7-AED1-9A7A115A79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805987" y="12858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3"/>
  <sheetViews>
    <sheetView topLeftCell="I7" workbookViewId="0">
      <selection activeCell="A4" sqref="A4:V48"/>
    </sheetView>
  </sheetViews>
  <sheetFormatPr defaultRowHeight="15.75" x14ac:dyDescent="0.25"/>
  <sheetData>
    <row r="1" spans="1:22" x14ac:dyDescent="0.25">
      <c r="A1" s="15" t="s">
        <v>0</v>
      </c>
      <c r="B1" s="15"/>
      <c r="C1" s="15"/>
      <c r="D1" s="15"/>
      <c r="E1" s="15"/>
      <c r="F1" s="15"/>
      <c r="G1" s="15"/>
      <c r="H1" s="15"/>
      <c r="I1" s="15"/>
      <c r="J1" s="15"/>
      <c r="K1" s="15"/>
      <c r="L1" s="15"/>
      <c r="M1" s="15"/>
      <c r="N1" s="15"/>
      <c r="O1" s="15"/>
      <c r="P1" s="15"/>
      <c r="Q1" s="15"/>
      <c r="R1" s="15"/>
      <c r="S1" s="15"/>
      <c r="T1" s="15"/>
      <c r="U1" s="15"/>
      <c r="V1" s="15"/>
    </row>
    <row r="2" spans="1:22" x14ac:dyDescent="0.25">
      <c r="A2" s="15" t="s">
        <v>1</v>
      </c>
      <c r="B2" s="15"/>
      <c r="C2" s="15"/>
      <c r="D2" s="15"/>
      <c r="E2" s="15"/>
      <c r="F2" s="15"/>
      <c r="G2" s="15"/>
      <c r="H2" s="15"/>
      <c r="I2" s="15"/>
      <c r="J2" s="15"/>
      <c r="K2" s="15"/>
      <c r="L2" s="15"/>
      <c r="M2" s="15"/>
      <c r="N2" s="15"/>
      <c r="O2" s="15"/>
      <c r="P2" s="15"/>
      <c r="Q2" s="15"/>
      <c r="R2" s="15"/>
      <c r="S2" s="15"/>
      <c r="T2" s="15"/>
      <c r="U2" s="15"/>
      <c r="V2" s="15"/>
    </row>
    <row r="3" spans="1:22" x14ac:dyDescent="0.25">
      <c r="A3" t="s">
        <v>2</v>
      </c>
    </row>
    <row r="4" spans="1:22" x14ac:dyDescent="0.25">
      <c r="A4" s="15" t="s">
        <v>3</v>
      </c>
      <c r="B4" s="15">
        <v>2004</v>
      </c>
      <c r="C4" s="15">
        <v>2005</v>
      </c>
      <c r="D4" s="15">
        <v>2006</v>
      </c>
      <c r="E4" s="15">
        <v>2007</v>
      </c>
      <c r="F4" s="15">
        <v>2008</v>
      </c>
      <c r="G4" s="15">
        <v>2009</v>
      </c>
      <c r="H4" s="15">
        <v>2010</v>
      </c>
      <c r="I4" s="15">
        <v>2011</v>
      </c>
      <c r="J4" s="15">
        <v>2012</v>
      </c>
      <c r="K4" s="15">
        <v>2013</v>
      </c>
      <c r="L4" s="15">
        <v>2014</v>
      </c>
      <c r="M4" s="15">
        <v>2015</v>
      </c>
      <c r="N4" s="15"/>
      <c r="O4" s="15">
        <v>2016</v>
      </c>
      <c r="P4" s="15">
        <v>2017</v>
      </c>
      <c r="Q4" s="15">
        <v>2018</v>
      </c>
      <c r="R4" s="15">
        <v>2019</v>
      </c>
      <c r="S4" s="15">
        <v>2020</v>
      </c>
      <c r="T4" s="15">
        <v>2021</v>
      </c>
      <c r="U4" s="15">
        <v>2022</v>
      </c>
      <c r="V4" s="15">
        <v>2023</v>
      </c>
    </row>
    <row r="5" spans="1:22" x14ac:dyDescent="0.25">
      <c r="A5" s="15"/>
      <c r="B5" s="15"/>
      <c r="C5" s="15"/>
      <c r="D5" s="15"/>
      <c r="E5" s="15"/>
      <c r="F5" s="15"/>
      <c r="G5" s="15"/>
      <c r="H5" s="15"/>
      <c r="I5" s="15"/>
      <c r="J5" s="15"/>
      <c r="K5" s="15"/>
      <c r="L5" s="15"/>
      <c r="M5" s="15"/>
      <c r="N5" s="15"/>
      <c r="O5" s="15"/>
      <c r="P5" s="15"/>
      <c r="Q5" s="15"/>
      <c r="R5" s="15"/>
      <c r="S5" s="15"/>
      <c r="T5" s="15"/>
      <c r="U5" s="15"/>
      <c r="V5" s="15"/>
    </row>
    <row r="6" spans="1:22" x14ac:dyDescent="0.25">
      <c r="A6" s="15"/>
      <c r="B6" s="15"/>
      <c r="C6" s="15"/>
      <c r="D6" s="15"/>
      <c r="E6" s="15"/>
      <c r="F6" s="15"/>
      <c r="G6" s="15"/>
      <c r="H6" s="15"/>
      <c r="I6" s="15"/>
      <c r="J6" s="15"/>
      <c r="K6" s="15"/>
      <c r="L6" s="15"/>
      <c r="M6" s="15"/>
      <c r="N6" s="15"/>
      <c r="O6" s="15"/>
      <c r="P6" s="15"/>
      <c r="Q6" s="15"/>
      <c r="R6" s="15"/>
      <c r="S6" s="15"/>
      <c r="T6" s="15"/>
      <c r="U6" s="15"/>
      <c r="V6" s="15"/>
    </row>
    <row r="7" spans="1:22" x14ac:dyDescent="0.25">
      <c r="A7" s="15"/>
      <c r="B7" s="15"/>
      <c r="C7" s="15"/>
      <c r="D7" s="15"/>
      <c r="E7" s="15"/>
      <c r="F7" s="15"/>
      <c r="G7" s="15"/>
      <c r="H7" s="15"/>
      <c r="I7" s="15"/>
      <c r="J7" s="15"/>
      <c r="K7" s="15"/>
      <c r="L7" s="15"/>
      <c r="M7" s="15"/>
      <c r="N7" s="15"/>
      <c r="O7" s="15"/>
      <c r="P7" s="15"/>
      <c r="Q7" s="15"/>
      <c r="R7" s="15"/>
      <c r="S7" s="15"/>
      <c r="T7" s="15"/>
      <c r="U7" s="15"/>
      <c r="V7" s="15"/>
    </row>
    <row r="8" spans="1:22" x14ac:dyDescent="0.25">
      <c r="A8" t="s">
        <v>4</v>
      </c>
      <c r="B8" t="s">
        <v>5</v>
      </c>
      <c r="C8" t="s">
        <v>6</v>
      </c>
      <c r="D8" t="s">
        <v>7</v>
      </c>
      <c r="E8" t="s">
        <v>8</v>
      </c>
      <c r="F8" t="s">
        <v>9</v>
      </c>
      <c r="G8" t="s">
        <v>10</v>
      </c>
      <c r="H8" t="s">
        <v>11</v>
      </c>
      <c r="I8" t="s">
        <v>12</v>
      </c>
      <c r="J8" t="s">
        <v>13</v>
      </c>
      <c r="K8" t="s">
        <v>14</v>
      </c>
      <c r="L8" t="s">
        <v>15</v>
      </c>
      <c r="M8" s="15" t="s">
        <v>16</v>
      </c>
      <c r="N8" s="15"/>
      <c r="O8" t="s">
        <v>17</v>
      </c>
      <c r="P8" t="s">
        <v>18</v>
      </c>
      <c r="Q8" t="s">
        <v>19</v>
      </c>
      <c r="R8" t="s">
        <v>20</v>
      </c>
      <c r="S8" t="s">
        <v>21</v>
      </c>
      <c r="T8" t="s">
        <v>22</v>
      </c>
      <c r="U8" t="s">
        <v>23</v>
      </c>
      <c r="V8" t="s">
        <v>24</v>
      </c>
    </row>
    <row r="9" spans="1:22" x14ac:dyDescent="0.25">
      <c r="A9" t="s">
        <v>25</v>
      </c>
      <c r="B9">
        <v>101522</v>
      </c>
      <c r="C9">
        <v>110292</v>
      </c>
      <c r="D9">
        <v>119586</v>
      </c>
      <c r="E9">
        <v>136088</v>
      </c>
      <c r="F9">
        <v>144950</v>
      </c>
      <c r="G9">
        <v>163388</v>
      </c>
      <c r="H9">
        <v>170032</v>
      </c>
      <c r="I9">
        <v>166234</v>
      </c>
      <c r="J9">
        <v>164245</v>
      </c>
      <c r="K9">
        <f t="shared" ref="K9:K31" si="0">K60+K111</f>
        <v>163617</v>
      </c>
      <c r="L9">
        <v>167073</v>
      </c>
      <c r="M9">
        <f t="shared" ref="M9:M41" si="1">M60+M111</f>
        <v>139967</v>
      </c>
      <c r="O9">
        <v>165904</v>
      </c>
      <c r="P9">
        <v>166790</v>
      </c>
      <c r="Q9">
        <f t="shared" ref="Q9:Q41" si="2">Q60+Q111</f>
        <v>163543</v>
      </c>
      <c r="R9">
        <v>165221</v>
      </c>
      <c r="S9">
        <v>164988</v>
      </c>
      <c r="T9">
        <v>159489</v>
      </c>
      <c r="U9">
        <f t="shared" ref="U9:U41" si="3">U60+U111</f>
        <v>158120</v>
      </c>
      <c r="V9">
        <v>153733</v>
      </c>
    </row>
    <row r="10" spans="1:22" x14ac:dyDescent="0.25">
      <c r="A10" t="s">
        <v>26</v>
      </c>
      <c r="B10">
        <v>202689</v>
      </c>
      <c r="C10">
        <v>211289</v>
      </c>
      <c r="D10">
        <v>212362</v>
      </c>
      <c r="E10">
        <v>230001</v>
      </c>
      <c r="F10">
        <v>229749</v>
      </c>
      <c r="G10">
        <v>245214</v>
      </c>
      <c r="H10">
        <v>257534</v>
      </c>
      <c r="I10">
        <v>252803</v>
      </c>
      <c r="J10">
        <v>247824</v>
      </c>
      <c r="K10">
        <f t="shared" si="0"/>
        <v>242421</v>
      </c>
      <c r="L10">
        <v>247946</v>
      </c>
      <c r="M10">
        <f t="shared" si="1"/>
        <v>213764</v>
      </c>
      <c r="O10">
        <v>241604</v>
      </c>
      <c r="P10">
        <v>238789</v>
      </c>
      <c r="Q10">
        <f t="shared" si="2"/>
        <v>230957</v>
      </c>
      <c r="R10">
        <v>232100</v>
      </c>
      <c r="S10">
        <v>227602</v>
      </c>
      <c r="T10">
        <v>216619</v>
      </c>
      <c r="U10">
        <f t="shared" si="3"/>
        <v>208606</v>
      </c>
      <c r="V10">
        <v>200846</v>
      </c>
    </row>
    <row r="11" spans="1:22" x14ac:dyDescent="0.25">
      <c r="A11" t="s">
        <v>27</v>
      </c>
      <c r="B11">
        <v>110165</v>
      </c>
      <c r="C11">
        <v>116348</v>
      </c>
      <c r="D11">
        <v>118710</v>
      </c>
      <c r="E11">
        <v>129344</v>
      </c>
      <c r="F11">
        <v>128821</v>
      </c>
      <c r="G11">
        <v>139409</v>
      </c>
      <c r="H11">
        <v>142406</v>
      </c>
      <c r="I11">
        <v>142111</v>
      </c>
      <c r="J11">
        <v>139163</v>
      </c>
      <c r="K11">
        <f t="shared" si="0"/>
        <v>135894</v>
      </c>
      <c r="L11">
        <v>139020</v>
      </c>
      <c r="M11">
        <f t="shared" si="1"/>
        <v>114357</v>
      </c>
      <c r="O11">
        <v>134784</v>
      </c>
      <c r="P11">
        <v>131976</v>
      </c>
      <c r="Q11">
        <f t="shared" si="2"/>
        <v>128211</v>
      </c>
      <c r="R11">
        <v>129595</v>
      </c>
      <c r="S11">
        <v>128680</v>
      </c>
      <c r="T11">
        <v>123316</v>
      </c>
      <c r="U11">
        <f t="shared" si="3"/>
        <v>120156</v>
      </c>
      <c r="V11">
        <v>115185</v>
      </c>
    </row>
    <row r="12" spans="1:22" x14ac:dyDescent="0.25">
      <c r="A12" t="s">
        <v>28</v>
      </c>
      <c r="B12">
        <v>69646</v>
      </c>
      <c r="C12">
        <v>73589</v>
      </c>
      <c r="D12">
        <v>74714</v>
      </c>
      <c r="E12">
        <v>85721</v>
      </c>
      <c r="F12">
        <v>92649</v>
      </c>
      <c r="G12">
        <v>102084</v>
      </c>
      <c r="H12">
        <v>105212</v>
      </c>
      <c r="I12">
        <v>105531</v>
      </c>
      <c r="J12">
        <v>103902</v>
      </c>
      <c r="K12">
        <f t="shared" si="0"/>
        <v>103436</v>
      </c>
      <c r="L12">
        <v>103826</v>
      </c>
      <c r="M12">
        <f t="shared" si="1"/>
        <v>92985</v>
      </c>
      <c r="O12">
        <v>105339</v>
      </c>
      <c r="P12">
        <v>104232</v>
      </c>
      <c r="Q12">
        <f t="shared" si="2"/>
        <v>102367</v>
      </c>
      <c r="R12">
        <v>103370</v>
      </c>
      <c r="S12">
        <v>103231</v>
      </c>
      <c r="T12">
        <v>99510</v>
      </c>
      <c r="U12">
        <f t="shared" si="3"/>
        <v>97247</v>
      </c>
      <c r="V12">
        <v>93980</v>
      </c>
    </row>
    <row r="13" spans="1:22" x14ac:dyDescent="0.25">
      <c r="A13" t="s">
        <v>29</v>
      </c>
      <c r="B13">
        <v>58554</v>
      </c>
      <c r="C13">
        <v>62330</v>
      </c>
      <c r="D13">
        <v>62851</v>
      </c>
      <c r="E13">
        <v>69318</v>
      </c>
      <c r="F13">
        <v>71298</v>
      </c>
      <c r="G13">
        <v>80890</v>
      </c>
      <c r="H13">
        <v>82770</v>
      </c>
      <c r="I13">
        <v>83568</v>
      </c>
      <c r="J13">
        <v>81823</v>
      </c>
      <c r="K13">
        <f t="shared" si="0"/>
        <v>80371</v>
      </c>
      <c r="L13">
        <v>81802</v>
      </c>
      <c r="M13">
        <f t="shared" si="1"/>
        <v>69255</v>
      </c>
      <c r="O13">
        <v>79684</v>
      </c>
      <c r="P13">
        <v>78777</v>
      </c>
      <c r="Q13">
        <f t="shared" si="2"/>
        <v>76639</v>
      </c>
      <c r="R13">
        <v>76674</v>
      </c>
      <c r="S13">
        <v>76331</v>
      </c>
      <c r="T13">
        <v>73054</v>
      </c>
      <c r="U13">
        <f t="shared" si="3"/>
        <v>70299</v>
      </c>
      <c r="V13">
        <v>68021</v>
      </c>
    </row>
    <row r="14" spans="1:22" x14ac:dyDescent="0.25">
      <c r="A14" t="s">
        <v>30</v>
      </c>
      <c r="B14">
        <v>104340</v>
      </c>
      <c r="C14">
        <v>109022</v>
      </c>
      <c r="D14">
        <v>109677</v>
      </c>
      <c r="E14">
        <v>121504</v>
      </c>
      <c r="F14">
        <v>125406</v>
      </c>
      <c r="G14">
        <v>137843</v>
      </c>
      <c r="H14">
        <v>142685</v>
      </c>
      <c r="I14">
        <v>142104</v>
      </c>
      <c r="J14">
        <v>139252</v>
      </c>
      <c r="K14">
        <f t="shared" si="0"/>
        <v>135869</v>
      </c>
      <c r="L14">
        <v>142938</v>
      </c>
      <c r="M14">
        <f t="shared" si="1"/>
        <v>121880</v>
      </c>
      <c r="O14">
        <v>139225</v>
      </c>
      <c r="P14">
        <v>136328</v>
      </c>
      <c r="Q14">
        <f t="shared" si="2"/>
        <v>132044</v>
      </c>
      <c r="R14">
        <v>132106</v>
      </c>
      <c r="S14">
        <v>132056</v>
      </c>
      <c r="T14">
        <v>126642</v>
      </c>
      <c r="U14">
        <f t="shared" si="3"/>
        <v>123545</v>
      </c>
      <c r="V14">
        <v>118773</v>
      </c>
    </row>
    <row r="15" spans="1:22" x14ac:dyDescent="0.25">
      <c r="A15" t="s">
        <v>31</v>
      </c>
      <c r="B15">
        <v>42129</v>
      </c>
      <c r="C15">
        <v>45356</v>
      </c>
      <c r="D15">
        <v>48176</v>
      </c>
      <c r="E15">
        <v>51096</v>
      </c>
      <c r="F15">
        <v>53193</v>
      </c>
      <c r="G15">
        <v>62951</v>
      </c>
      <c r="H15">
        <v>64635</v>
      </c>
      <c r="I15">
        <v>65079</v>
      </c>
      <c r="J15">
        <v>63728</v>
      </c>
      <c r="K15">
        <f t="shared" si="0"/>
        <v>62088</v>
      </c>
      <c r="L15">
        <v>62698</v>
      </c>
      <c r="M15">
        <f t="shared" si="1"/>
        <v>53625</v>
      </c>
      <c r="O15">
        <v>61053</v>
      </c>
      <c r="P15">
        <v>60271</v>
      </c>
      <c r="Q15">
        <f t="shared" si="2"/>
        <v>58481</v>
      </c>
      <c r="R15">
        <v>59176</v>
      </c>
      <c r="S15">
        <v>57685</v>
      </c>
      <c r="T15">
        <v>55758</v>
      </c>
      <c r="U15">
        <f t="shared" si="3"/>
        <v>54176</v>
      </c>
      <c r="V15">
        <v>52418</v>
      </c>
    </row>
    <row r="16" spans="1:22" x14ac:dyDescent="0.25">
      <c r="A16" t="s">
        <v>32</v>
      </c>
      <c r="B16">
        <v>100548</v>
      </c>
      <c r="C16">
        <v>104589</v>
      </c>
      <c r="D16">
        <v>103689</v>
      </c>
      <c r="E16">
        <v>112077</v>
      </c>
      <c r="F16">
        <v>118059</v>
      </c>
      <c r="G16">
        <v>129249</v>
      </c>
      <c r="H16">
        <v>129627</v>
      </c>
      <c r="I16">
        <v>130622</v>
      </c>
      <c r="J16">
        <v>126613</v>
      </c>
      <c r="K16">
        <f t="shared" si="0"/>
        <v>121579</v>
      </c>
      <c r="L16">
        <v>128124</v>
      </c>
      <c r="M16">
        <f t="shared" si="1"/>
        <v>110443</v>
      </c>
      <c r="O16">
        <v>123753</v>
      </c>
      <c r="P16">
        <v>122332</v>
      </c>
      <c r="Q16">
        <f t="shared" si="2"/>
        <v>118234</v>
      </c>
      <c r="R16">
        <v>119544</v>
      </c>
      <c r="S16">
        <v>119038</v>
      </c>
      <c r="T16">
        <v>113466</v>
      </c>
      <c r="U16">
        <f t="shared" si="3"/>
        <v>110393</v>
      </c>
      <c r="V16">
        <v>105734</v>
      </c>
    </row>
    <row r="17" spans="1:22" x14ac:dyDescent="0.25">
      <c r="A17" t="s">
        <v>33</v>
      </c>
      <c r="B17">
        <v>16402</v>
      </c>
      <c r="C17">
        <v>18898</v>
      </c>
      <c r="D17">
        <v>20603</v>
      </c>
      <c r="E17">
        <v>22512</v>
      </c>
      <c r="F17">
        <v>23304</v>
      </c>
      <c r="G17">
        <v>27909</v>
      </c>
      <c r="H17">
        <v>30331</v>
      </c>
      <c r="I17">
        <v>31712</v>
      </c>
      <c r="J17">
        <v>31419</v>
      </c>
      <c r="K17">
        <f t="shared" si="0"/>
        <v>31039</v>
      </c>
      <c r="L17">
        <v>32409</v>
      </c>
      <c r="M17">
        <f t="shared" si="1"/>
        <v>28374</v>
      </c>
      <c r="O17">
        <v>31991</v>
      </c>
      <c r="P17">
        <v>31739</v>
      </c>
      <c r="Q17">
        <f t="shared" si="2"/>
        <v>30988</v>
      </c>
      <c r="R17">
        <v>32363</v>
      </c>
      <c r="S17">
        <v>33010</v>
      </c>
      <c r="T17">
        <v>32047</v>
      </c>
      <c r="U17">
        <f t="shared" si="3"/>
        <v>32205</v>
      </c>
      <c r="V17">
        <v>31366</v>
      </c>
    </row>
    <row r="18" spans="1:22" x14ac:dyDescent="0.25">
      <c r="A18" t="s">
        <v>34</v>
      </c>
      <c r="B18">
        <v>16865</v>
      </c>
      <c r="C18">
        <v>19286</v>
      </c>
      <c r="D18">
        <v>20666</v>
      </c>
      <c r="E18">
        <v>25448</v>
      </c>
      <c r="F18">
        <v>26798</v>
      </c>
      <c r="G18">
        <v>32153</v>
      </c>
      <c r="H18">
        <v>33801</v>
      </c>
      <c r="I18">
        <v>34944</v>
      </c>
      <c r="J18">
        <v>35039</v>
      </c>
      <c r="K18">
        <f t="shared" si="0"/>
        <v>35040</v>
      </c>
      <c r="L18">
        <v>36083</v>
      </c>
      <c r="M18">
        <f t="shared" si="1"/>
        <v>28967</v>
      </c>
      <c r="O18">
        <v>37675</v>
      </c>
      <c r="P18">
        <v>37972</v>
      </c>
      <c r="Q18">
        <f t="shared" si="2"/>
        <v>37365</v>
      </c>
      <c r="R18">
        <v>39038</v>
      </c>
      <c r="S18">
        <v>39555</v>
      </c>
      <c r="T18">
        <v>38898</v>
      </c>
      <c r="U18">
        <f t="shared" si="3"/>
        <v>39933</v>
      </c>
      <c r="V18">
        <v>39038</v>
      </c>
    </row>
    <row r="19" spans="1:22" x14ac:dyDescent="0.25">
      <c r="A19" t="s">
        <v>35</v>
      </c>
      <c r="B19">
        <v>265945</v>
      </c>
      <c r="C19">
        <v>274822</v>
      </c>
      <c r="D19">
        <v>273093</v>
      </c>
      <c r="E19">
        <v>278820</v>
      </c>
      <c r="F19">
        <v>274239</v>
      </c>
      <c r="G19">
        <v>296931</v>
      </c>
      <c r="H19">
        <v>297147</v>
      </c>
      <c r="I19">
        <v>306586</v>
      </c>
      <c r="J19">
        <v>291132</v>
      </c>
      <c r="K19">
        <f t="shared" si="0"/>
        <v>286775</v>
      </c>
      <c r="L19">
        <v>275763</v>
      </c>
      <c r="M19">
        <f t="shared" si="1"/>
        <v>1035276</v>
      </c>
      <c r="N19" t="s">
        <v>36</v>
      </c>
      <c r="O19">
        <v>269131</v>
      </c>
      <c r="P19">
        <v>264357</v>
      </c>
      <c r="Q19">
        <f t="shared" si="2"/>
        <v>268680</v>
      </c>
      <c r="R19">
        <v>271621</v>
      </c>
      <c r="S19">
        <v>271690</v>
      </c>
      <c r="T19">
        <v>263930</v>
      </c>
      <c r="U19">
        <f t="shared" si="3"/>
        <v>258181</v>
      </c>
      <c r="V19">
        <v>241855</v>
      </c>
    </row>
    <row r="20" spans="1:22" x14ac:dyDescent="0.25">
      <c r="A20" t="s">
        <v>37</v>
      </c>
      <c r="B20">
        <v>406698</v>
      </c>
      <c r="C20">
        <v>417720</v>
      </c>
      <c r="D20">
        <v>404757</v>
      </c>
      <c r="E20">
        <v>444735</v>
      </c>
      <c r="F20">
        <v>455422</v>
      </c>
      <c r="G20">
        <v>482824</v>
      </c>
      <c r="H20">
        <v>477496</v>
      </c>
      <c r="I20">
        <v>458751</v>
      </c>
      <c r="J20">
        <v>449122</v>
      </c>
      <c r="K20">
        <f t="shared" si="0"/>
        <v>431823</v>
      </c>
      <c r="L20">
        <v>445489</v>
      </c>
      <c r="M20">
        <f t="shared" si="1"/>
        <v>350729</v>
      </c>
      <c r="O20">
        <v>428741</v>
      </c>
      <c r="P20">
        <v>417232</v>
      </c>
      <c r="Q20">
        <f t="shared" si="2"/>
        <v>401296</v>
      </c>
      <c r="R20">
        <v>393718</v>
      </c>
      <c r="S20">
        <v>384859</v>
      </c>
      <c r="T20">
        <v>361805</v>
      </c>
      <c r="U20">
        <f t="shared" si="3"/>
        <v>344118</v>
      </c>
      <c r="V20">
        <v>327676</v>
      </c>
    </row>
    <row r="21" spans="1:22" ht="12.75" customHeight="1" x14ac:dyDescent="0.25">
      <c r="A21" t="s">
        <v>38</v>
      </c>
      <c r="B21">
        <v>449922</v>
      </c>
      <c r="C21">
        <v>461252</v>
      </c>
      <c r="D21">
        <v>444496</v>
      </c>
      <c r="E21">
        <v>473654</v>
      </c>
      <c r="F21">
        <v>472095</v>
      </c>
      <c r="G21">
        <v>498261</v>
      </c>
      <c r="H21">
        <v>496205</v>
      </c>
      <c r="I21">
        <v>480629</v>
      </c>
      <c r="J21">
        <v>464108</v>
      </c>
      <c r="K21">
        <f t="shared" si="0"/>
        <v>444442</v>
      </c>
      <c r="L21">
        <v>451310</v>
      </c>
      <c r="M21">
        <f t="shared" si="1"/>
        <v>375503</v>
      </c>
      <c r="O21">
        <v>432857</v>
      </c>
      <c r="P21">
        <v>418587</v>
      </c>
      <c r="Q21">
        <f t="shared" si="2"/>
        <v>401283</v>
      </c>
      <c r="R21">
        <v>397115</v>
      </c>
      <c r="S21">
        <v>391561</v>
      </c>
      <c r="T21">
        <v>367199</v>
      </c>
      <c r="U21">
        <f t="shared" si="3"/>
        <v>354004</v>
      </c>
      <c r="V21">
        <v>336097</v>
      </c>
    </row>
    <row r="22" spans="1:22" x14ac:dyDescent="0.25">
      <c r="A22" t="s">
        <v>39</v>
      </c>
      <c r="B22">
        <v>90669</v>
      </c>
      <c r="C22">
        <v>92223</v>
      </c>
      <c r="D22">
        <v>89707</v>
      </c>
      <c r="E22">
        <v>92077</v>
      </c>
      <c r="F22">
        <v>89867</v>
      </c>
      <c r="G22">
        <v>94014</v>
      </c>
      <c r="H22">
        <v>92066</v>
      </c>
      <c r="I22">
        <v>88916</v>
      </c>
      <c r="J22">
        <v>86099</v>
      </c>
      <c r="K22">
        <f t="shared" si="0"/>
        <v>82343</v>
      </c>
      <c r="L22">
        <v>83311</v>
      </c>
      <c r="M22">
        <f t="shared" si="1"/>
        <v>57102</v>
      </c>
      <c r="O22">
        <v>82007</v>
      </c>
      <c r="P22">
        <v>78391</v>
      </c>
      <c r="Q22">
        <f t="shared" si="2"/>
        <v>75275</v>
      </c>
      <c r="R22">
        <v>74758</v>
      </c>
      <c r="S22">
        <v>73876</v>
      </c>
      <c r="T22">
        <v>69973</v>
      </c>
      <c r="U22">
        <f t="shared" si="3"/>
        <v>67561</v>
      </c>
      <c r="V22">
        <v>65117</v>
      </c>
    </row>
    <row r="23" spans="1:22" x14ac:dyDescent="0.25">
      <c r="A23" t="s">
        <v>40</v>
      </c>
      <c r="B23">
        <v>457937</v>
      </c>
      <c r="C23">
        <v>470827</v>
      </c>
      <c r="D23">
        <v>449479</v>
      </c>
      <c r="E23">
        <v>490420</v>
      </c>
      <c r="F23">
        <v>485233</v>
      </c>
      <c r="G23">
        <v>536753</v>
      </c>
      <c r="H23">
        <v>532181</v>
      </c>
      <c r="I23">
        <v>519082</v>
      </c>
      <c r="J23">
        <v>504292</v>
      </c>
      <c r="K23">
        <f t="shared" si="0"/>
        <v>489000</v>
      </c>
      <c r="L23">
        <v>493315</v>
      </c>
      <c r="M23">
        <f t="shared" si="1"/>
        <v>412982</v>
      </c>
      <c r="O23">
        <v>473920</v>
      </c>
      <c r="P23">
        <v>456194</v>
      </c>
      <c r="Q23">
        <f t="shared" si="2"/>
        <v>440629</v>
      </c>
      <c r="R23">
        <v>439002</v>
      </c>
      <c r="S23">
        <v>432732</v>
      </c>
      <c r="T23">
        <v>403754</v>
      </c>
      <c r="U23">
        <f t="shared" si="3"/>
        <v>383805</v>
      </c>
      <c r="V23">
        <v>363512</v>
      </c>
    </row>
    <row r="24" spans="1:22" x14ac:dyDescent="0.25">
      <c r="A24" t="s">
        <v>41</v>
      </c>
      <c r="B24">
        <v>73202</v>
      </c>
      <c r="C24">
        <v>76617</v>
      </c>
      <c r="D24">
        <v>75926</v>
      </c>
      <c r="E24">
        <v>85717</v>
      </c>
      <c r="F24">
        <v>91951</v>
      </c>
      <c r="G24">
        <v>100112</v>
      </c>
      <c r="H24">
        <v>99563</v>
      </c>
      <c r="I24">
        <v>98207</v>
      </c>
      <c r="J24">
        <v>96165</v>
      </c>
      <c r="K24">
        <f t="shared" si="0"/>
        <v>94758</v>
      </c>
      <c r="L24">
        <v>99321</v>
      </c>
      <c r="M24">
        <f t="shared" si="1"/>
        <v>79883</v>
      </c>
      <c r="O24">
        <v>97092</v>
      </c>
      <c r="P24">
        <v>96236</v>
      </c>
      <c r="Q24">
        <f t="shared" si="2"/>
        <v>93502</v>
      </c>
      <c r="R24">
        <v>93857</v>
      </c>
      <c r="S24">
        <v>93154</v>
      </c>
      <c r="T24">
        <v>88859</v>
      </c>
      <c r="U24">
        <f t="shared" si="3"/>
        <v>87171</v>
      </c>
      <c r="V24">
        <v>85161</v>
      </c>
    </row>
    <row r="25" spans="1:22" x14ac:dyDescent="0.25">
      <c r="A25" t="s">
        <v>42</v>
      </c>
      <c r="B25">
        <v>81170</v>
      </c>
      <c r="C25">
        <v>83554</v>
      </c>
      <c r="D25">
        <v>85143</v>
      </c>
      <c r="E25">
        <v>89291</v>
      </c>
      <c r="F25">
        <v>86059</v>
      </c>
      <c r="G25">
        <v>99686</v>
      </c>
      <c r="H25">
        <v>101493</v>
      </c>
      <c r="I25">
        <v>99467</v>
      </c>
      <c r="J25">
        <v>96782</v>
      </c>
      <c r="K25">
        <f t="shared" si="0"/>
        <v>94815</v>
      </c>
      <c r="L25">
        <v>94384</v>
      </c>
      <c r="M25">
        <f t="shared" si="1"/>
        <v>74668</v>
      </c>
      <c r="O25">
        <v>93610</v>
      </c>
      <c r="P25">
        <v>90035</v>
      </c>
      <c r="Q25">
        <f t="shared" si="2"/>
        <v>88232</v>
      </c>
      <c r="R25">
        <v>86011</v>
      </c>
      <c r="S25">
        <v>85575</v>
      </c>
      <c r="T25">
        <v>80891</v>
      </c>
      <c r="U25">
        <f t="shared" si="3"/>
        <v>77615</v>
      </c>
      <c r="V25">
        <v>73166</v>
      </c>
    </row>
    <row r="26" spans="1:22" x14ac:dyDescent="0.25">
      <c r="A26" t="s">
        <v>43</v>
      </c>
      <c r="B26">
        <v>69652</v>
      </c>
      <c r="C26">
        <v>73099</v>
      </c>
      <c r="D26">
        <v>73883</v>
      </c>
      <c r="E26">
        <v>82939</v>
      </c>
      <c r="F26">
        <v>80688</v>
      </c>
      <c r="G26">
        <v>94880</v>
      </c>
      <c r="H26">
        <v>95799</v>
      </c>
      <c r="I26">
        <v>94954</v>
      </c>
      <c r="J26">
        <v>92912</v>
      </c>
      <c r="K26">
        <f t="shared" si="0"/>
        <v>91709</v>
      </c>
      <c r="L26">
        <v>92137</v>
      </c>
      <c r="M26">
        <f t="shared" si="1"/>
        <v>81463</v>
      </c>
      <c r="O26">
        <v>93513</v>
      </c>
      <c r="P26">
        <v>90823</v>
      </c>
      <c r="Q26">
        <f t="shared" si="2"/>
        <v>89209</v>
      </c>
      <c r="R26">
        <v>87766</v>
      </c>
      <c r="S26">
        <v>89319</v>
      </c>
      <c r="T26">
        <v>85470</v>
      </c>
      <c r="U26">
        <f t="shared" si="3"/>
        <v>84200</v>
      </c>
      <c r="V26">
        <v>80890</v>
      </c>
    </row>
    <row r="27" spans="1:22" x14ac:dyDescent="0.25">
      <c r="A27" t="s">
        <v>44</v>
      </c>
      <c r="B27">
        <v>89456</v>
      </c>
      <c r="C27">
        <v>94086</v>
      </c>
      <c r="D27">
        <v>94351</v>
      </c>
      <c r="E27">
        <v>105647</v>
      </c>
      <c r="F27">
        <v>102931</v>
      </c>
      <c r="G27">
        <v>118502</v>
      </c>
      <c r="H27">
        <v>126038</v>
      </c>
      <c r="I27">
        <v>127712</v>
      </c>
      <c r="J27">
        <v>124726</v>
      </c>
      <c r="K27">
        <f t="shared" si="0"/>
        <v>123840</v>
      </c>
      <c r="L27">
        <v>125121</v>
      </c>
      <c r="M27">
        <f t="shared" si="1"/>
        <v>115522</v>
      </c>
      <c r="O27">
        <v>126369</v>
      </c>
      <c r="P27">
        <v>124583</v>
      </c>
      <c r="Q27">
        <f t="shared" si="2"/>
        <v>121089</v>
      </c>
      <c r="R27">
        <v>122830</v>
      </c>
      <c r="S27">
        <v>123146</v>
      </c>
      <c r="T27">
        <v>118336</v>
      </c>
      <c r="U27">
        <f t="shared" si="3"/>
        <v>117429</v>
      </c>
      <c r="V27">
        <v>113014</v>
      </c>
    </row>
    <row r="28" spans="1:22" x14ac:dyDescent="0.25">
      <c r="A28" t="s">
        <v>45</v>
      </c>
      <c r="B28">
        <v>72444</v>
      </c>
      <c r="C28">
        <v>76302</v>
      </c>
      <c r="D28">
        <v>77796</v>
      </c>
      <c r="E28">
        <v>82410</v>
      </c>
      <c r="F28">
        <v>84701</v>
      </c>
      <c r="G28">
        <v>93174</v>
      </c>
      <c r="H28">
        <v>94605</v>
      </c>
      <c r="I28">
        <v>94787</v>
      </c>
      <c r="J28">
        <v>92573</v>
      </c>
      <c r="K28">
        <f t="shared" si="0"/>
        <v>91025</v>
      </c>
      <c r="L28">
        <v>94432</v>
      </c>
      <c r="M28">
        <f t="shared" si="1"/>
        <v>81597</v>
      </c>
      <c r="O28">
        <v>92457</v>
      </c>
      <c r="P28">
        <v>91409</v>
      </c>
      <c r="Q28">
        <f t="shared" si="2"/>
        <v>88544</v>
      </c>
      <c r="R28">
        <v>88761</v>
      </c>
      <c r="S28">
        <v>89231</v>
      </c>
      <c r="T28">
        <v>85653</v>
      </c>
      <c r="U28">
        <f t="shared" si="3"/>
        <v>84691</v>
      </c>
      <c r="V28">
        <v>80898</v>
      </c>
    </row>
    <row r="29" spans="1:22" x14ac:dyDescent="0.25">
      <c r="A29" t="s">
        <v>46</v>
      </c>
      <c r="B29">
        <v>52301</v>
      </c>
      <c r="C29">
        <v>56058</v>
      </c>
      <c r="D29">
        <v>57842</v>
      </c>
      <c r="E29">
        <v>66154</v>
      </c>
      <c r="F29">
        <v>64325</v>
      </c>
      <c r="G29">
        <v>75793</v>
      </c>
      <c r="H29">
        <v>77134</v>
      </c>
      <c r="I29">
        <v>78919</v>
      </c>
      <c r="J29">
        <v>77680</v>
      </c>
      <c r="K29">
        <f t="shared" si="0"/>
        <v>76646</v>
      </c>
      <c r="L29">
        <v>78586</v>
      </c>
      <c r="M29">
        <f t="shared" si="1"/>
        <v>68967</v>
      </c>
      <c r="O29">
        <v>76465</v>
      </c>
      <c r="P29">
        <v>75107</v>
      </c>
      <c r="Q29">
        <f t="shared" si="2"/>
        <v>73096</v>
      </c>
      <c r="R29">
        <v>74781</v>
      </c>
      <c r="S29">
        <v>74931</v>
      </c>
      <c r="T29">
        <v>72650</v>
      </c>
      <c r="U29">
        <f t="shared" si="3"/>
        <v>72318</v>
      </c>
      <c r="V29">
        <v>69775</v>
      </c>
    </row>
    <row r="30" spans="1:22" x14ac:dyDescent="0.25">
      <c r="A30" t="s">
        <v>47</v>
      </c>
      <c r="B30">
        <v>71567</v>
      </c>
      <c r="C30">
        <v>74974</v>
      </c>
      <c r="D30">
        <v>76593</v>
      </c>
      <c r="E30">
        <v>85893</v>
      </c>
      <c r="F30">
        <v>82795</v>
      </c>
      <c r="G30">
        <v>95663</v>
      </c>
      <c r="H30">
        <v>97407</v>
      </c>
      <c r="I30">
        <v>97633</v>
      </c>
      <c r="J30">
        <v>95809</v>
      </c>
      <c r="K30">
        <f t="shared" si="0"/>
        <v>93701</v>
      </c>
      <c r="L30">
        <v>96102</v>
      </c>
      <c r="M30">
        <f t="shared" si="1"/>
        <v>78841</v>
      </c>
      <c r="O30">
        <v>93730</v>
      </c>
      <c r="P30">
        <v>91917</v>
      </c>
      <c r="Q30">
        <f t="shared" si="2"/>
        <v>89048</v>
      </c>
      <c r="R30">
        <v>89483</v>
      </c>
      <c r="S30">
        <v>88522</v>
      </c>
      <c r="T30">
        <v>85328</v>
      </c>
      <c r="U30">
        <f t="shared" si="3"/>
        <v>84236</v>
      </c>
      <c r="V30">
        <v>81306</v>
      </c>
    </row>
    <row r="31" spans="1:22" x14ac:dyDescent="0.25">
      <c r="A31" t="s">
        <v>48</v>
      </c>
      <c r="B31">
        <v>65245</v>
      </c>
      <c r="C31">
        <v>68622</v>
      </c>
      <c r="D31">
        <v>70670</v>
      </c>
      <c r="E31">
        <v>80048</v>
      </c>
      <c r="F31">
        <v>77891</v>
      </c>
      <c r="G31">
        <v>100204</v>
      </c>
      <c r="H31">
        <v>102005</v>
      </c>
      <c r="I31">
        <v>103525</v>
      </c>
      <c r="J31">
        <v>102007</v>
      </c>
      <c r="K31">
        <f t="shared" si="0"/>
        <v>100427</v>
      </c>
      <c r="L31">
        <v>89745</v>
      </c>
      <c r="M31">
        <f t="shared" si="1"/>
        <v>71903</v>
      </c>
      <c r="O31">
        <v>82099</v>
      </c>
      <c r="P31">
        <v>80877</v>
      </c>
      <c r="Q31">
        <f t="shared" si="2"/>
        <v>79216</v>
      </c>
      <c r="R31">
        <v>79621</v>
      </c>
      <c r="S31">
        <v>78815</v>
      </c>
      <c r="T31">
        <v>76259</v>
      </c>
      <c r="U31">
        <f t="shared" si="3"/>
        <v>75216</v>
      </c>
      <c r="V31">
        <v>72301</v>
      </c>
    </row>
    <row r="32" spans="1:22" x14ac:dyDescent="0.25">
      <c r="A32" t="s">
        <v>49</v>
      </c>
      <c r="B32" t="s">
        <v>50</v>
      </c>
      <c r="C32" t="s">
        <v>50</v>
      </c>
      <c r="D32" t="s">
        <v>50</v>
      </c>
      <c r="E32" t="s">
        <v>50</v>
      </c>
      <c r="F32" t="s">
        <v>50</v>
      </c>
      <c r="G32" t="s">
        <v>50</v>
      </c>
      <c r="H32" t="s">
        <v>50</v>
      </c>
      <c r="I32" t="s">
        <v>50</v>
      </c>
      <c r="J32" t="s">
        <v>50</v>
      </c>
      <c r="K32" t="s">
        <v>50</v>
      </c>
      <c r="L32">
        <v>14047</v>
      </c>
      <c r="M32">
        <f t="shared" si="1"/>
        <v>18980</v>
      </c>
      <c r="O32">
        <v>21287</v>
      </c>
      <c r="P32">
        <v>21234</v>
      </c>
      <c r="Q32">
        <f t="shared" si="2"/>
        <v>21341</v>
      </c>
      <c r="R32">
        <v>22431</v>
      </c>
      <c r="S32">
        <v>22478</v>
      </c>
      <c r="T32">
        <v>22238</v>
      </c>
      <c r="U32">
        <f t="shared" si="3"/>
        <v>22755</v>
      </c>
      <c r="V32">
        <v>22187</v>
      </c>
    </row>
    <row r="33" spans="1:22" x14ac:dyDescent="0.25">
      <c r="A33" t="s">
        <v>51</v>
      </c>
      <c r="B33">
        <v>64416</v>
      </c>
      <c r="C33">
        <v>66928</v>
      </c>
      <c r="D33">
        <v>68208</v>
      </c>
      <c r="E33">
        <v>71795</v>
      </c>
      <c r="F33">
        <v>68658</v>
      </c>
      <c r="G33">
        <v>81254</v>
      </c>
      <c r="H33">
        <v>79697</v>
      </c>
      <c r="I33">
        <v>80723</v>
      </c>
      <c r="J33">
        <v>78955</v>
      </c>
      <c r="K33">
        <f t="shared" ref="K33:K41" si="4">K84+K135</f>
        <v>77252</v>
      </c>
      <c r="L33">
        <v>79661</v>
      </c>
      <c r="M33">
        <f t="shared" si="1"/>
        <v>64753</v>
      </c>
      <c r="O33">
        <v>76539</v>
      </c>
      <c r="P33">
        <v>74496</v>
      </c>
      <c r="Q33">
        <f t="shared" si="2"/>
        <v>72362</v>
      </c>
      <c r="R33">
        <v>74154</v>
      </c>
      <c r="S33">
        <v>74104</v>
      </c>
      <c r="T33">
        <v>71540</v>
      </c>
      <c r="U33">
        <f t="shared" si="3"/>
        <v>70926</v>
      </c>
      <c r="V33">
        <v>68313</v>
      </c>
    </row>
    <row r="34" spans="1:22" x14ac:dyDescent="0.25">
      <c r="A34" t="s">
        <v>52</v>
      </c>
      <c r="B34">
        <v>58032</v>
      </c>
      <c r="C34">
        <v>61760</v>
      </c>
      <c r="D34">
        <v>62162</v>
      </c>
      <c r="E34">
        <v>71608</v>
      </c>
      <c r="F34">
        <v>72480</v>
      </c>
      <c r="G34">
        <v>86121</v>
      </c>
      <c r="H34">
        <v>86821</v>
      </c>
      <c r="I34">
        <v>87678</v>
      </c>
      <c r="J34">
        <v>85763</v>
      </c>
      <c r="K34">
        <f t="shared" si="4"/>
        <v>83744</v>
      </c>
      <c r="L34">
        <v>89530</v>
      </c>
      <c r="M34">
        <f t="shared" si="1"/>
        <v>80597</v>
      </c>
      <c r="O34">
        <v>90234</v>
      </c>
      <c r="P34">
        <v>89381</v>
      </c>
      <c r="Q34">
        <f t="shared" si="2"/>
        <v>87906</v>
      </c>
      <c r="R34">
        <v>89241</v>
      </c>
      <c r="S34">
        <v>88554</v>
      </c>
      <c r="T34">
        <v>86031</v>
      </c>
      <c r="U34">
        <f t="shared" si="3"/>
        <v>84353</v>
      </c>
      <c r="V34">
        <v>81192</v>
      </c>
    </row>
    <row r="35" spans="1:22" x14ac:dyDescent="0.25">
      <c r="A35" t="s">
        <v>53</v>
      </c>
      <c r="B35">
        <v>178433</v>
      </c>
      <c r="C35">
        <v>169265</v>
      </c>
      <c r="D35">
        <v>166627</v>
      </c>
      <c r="E35">
        <v>185951</v>
      </c>
      <c r="F35">
        <v>184453</v>
      </c>
      <c r="G35">
        <v>202230</v>
      </c>
      <c r="H35">
        <v>207778</v>
      </c>
      <c r="I35">
        <v>206105</v>
      </c>
      <c r="J35">
        <v>201464</v>
      </c>
      <c r="K35">
        <f t="shared" si="4"/>
        <v>198421</v>
      </c>
      <c r="L35">
        <v>204280</v>
      </c>
      <c r="M35">
        <f t="shared" si="1"/>
        <v>171503</v>
      </c>
      <c r="O35">
        <v>204728</v>
      </c>
      <c r="P35">
        <v>200416</v>
      </c>
      <c r="Q35">
        <f t="shared" si="2"/>
        <v>197062</v>
      </c>
      <c r="R35">
        <v>197109</v>
      </c>
      <c r="S35">
        <v>197244</v>
      </c>
      <c r="T35">
        <v>189671</v>
      </c>
      <c r="U35">
        <f t="shared" si="3"/>
        <v>185021</v>
      </c>
      <c r="V35">
        <v>178741</v>
      </c>
    </row>
    <row r="36" spans="1:22" x14ac:dyDescent="0.25">
      <c r="A36" t="s">
        <v>54</v>
      </c>
      <c r="B36">
        <v>53111</v>
      </c>
      <c r="C36">
        <v>56872</v>
      </c>
      <c r="D36">
        <v>58806</v>
      </c>
      <c r="E36">
        <v>66546</v>
      </c>
      <c r="F36">
        <v>67853</v>
      </c>
      <c r="G36">
        <v>78393</v>
      </c>
      <c r="H36">
        <v>81698</v>
      </c>
      <c r="I36">
        <v>82539</v>
      </c>
      <c r="J36">
        <v>80495</v>
      </c>
      <c r="K36">
        <f t="shared" si="4"/>
        <v>79405</v>
      </c>
      <c r="L36">
        <v>84739</v>
      </c>
      <c r="M36">
        <f t="shared" si="1"/>
        <v>75882</v>
      </c>
      <c r="O36">
        <v>85160</v>
      </c>
      <c r="P36">
        <v>83716</v>
      </c>
      <c r="Q36">
        <f t="shared" si="2"/>
        <v>83035</v>
      </c>
      <c r="R36">
        <v>85001</v>
      </c>
      <c r="S36">
        <v>85650</v>
      </c>
      <c r="T36">
        <v>83081</v>
      </c>
      <c r="U36">
        <f t="shared" si="3"/>
        <v>82349</v>
      </c>
      <c r="V36">
        <v>80337</v>
      </c>
    </row>
    <row r="37" spans="1:22" x14ac:dyDescent="0.25">
      <c r="A37" t="s">
        <v>55</v>
      </c>
      <c r="B37">
        <v>19157</v>
      </c>
      <c r="C37">
        <v>21210</v>
      </c>
      <c r="D37">
        <v>22374</v>
      </c>
      <c r="E37">
        <v>26659</v>
      </c>
      <c r="F37">
        <v>26329</v>
      </c>
      <c r="G37">
        <v>34065</v>
      </c>
      <c r="H37">
        <v>34315</v>
      </c>
      <c r="I37">
        <v>35147</v>
      </c>
      <c r="J37">
        <v>34675</v>
      </c>
      <c r="K37">
        <f t="shared" si="4"/>
        <v>34117</v>
      </c>
      <c r="L37">
        <v>35579</v>
      </c>
      <c r="M37">
        <f t="shared" si="1"/>
        <v>30330</v>
      </c>
      <c r="O37">
        <v>34980</v>
      </c>
      <c r="P37">
        <v>34985</v>
      </c>
      <c r="Q37">
        <f t="shared" si="2"/>
        <v>34221</v>
      </c>
      <c r="R37">
        <v>34988</v>
      </c>
      <c r="S37">
        <v>34873</v>
      </c>
      <c r="T37">
        <v>33835</v>
      </c>
      <c r="U37">
        <f t="shared" si="3"/>
        <v>33806</v>
      </c>
      <c r="V37">
        <v>32725</v>
      </c>
    </row>
    <row r="38" spans="1:22" x14ac:dyDescent="0.25">
      <c r="A38" t="s">
        <v>56</v>
      </c>
      <c r="B38" t="s">
        <v>50</v>
      </c>
      <c r="C38">
        <v>18504</v>
      </c>
      <c r="D38">
        <v>19589</v>
      </c>
      <c r="E38">
        <v>23468</v>
      </c>
      <c r="F38">
        <v>24311</v>
      </c>
      <c r="G38">
        <v>29297</v>
      </c>
      <c r="H38">
        <v>31263</v>
      </c>
      <c r="I38">
        <v>31979</v>
      </c>
      <c r="J38">
        <v>32157</v>
      </c>
      <c r="K38">
        <f t="shared" si="4"/>
        <v>32253</v>
      </c>
      <c r="L38">
        <v>34569</v>
      </c>
      <c r="M38">
        <f t="shared" si="1"/>
        <v>32677</v>
      </c>
      <c r="O38">
        <v>36920</v>
      </c>
      <c r="P38">
        <v>36749</v>
      </c>
      <c r="Q38">
        <f t="shared" si="2"/>
        <v>36210</v>
      </c>
      <c r="R38">
        <v>37237</v>
      </c>
      <c r="S38">
        <v>37303</v>
      </c>
      <c r="T38">
        <v>36284</v>
      </c>
      <c r="U38">
        <f t="shared" si="3"/>
        <v>35990</v>
      </c>
      <c r="V38">
        <v>34944</v>
      </c>
    </row>
    <row r="39" spans="1:22" x14ac:dyDescent="0.25">
      <c r="A39" t="s">
        <v>57</v>
      </c>
      <c r="B39">
        <v>43459</v>
      </c>
      <c r="C39">
        <v>46115</v>
      </c>
      <c r="D39">
        <v>47062</v>
      </c>
      <c r="E39">
        <v>53050</v>
      </c>
      <c r="F39">
        <v>52322</v>
      </c>
      <c r="G39">
        <v>62725</v>
      </c>
      <c r="H39">
        <v>68177</v>
      </c>
      <c r="I39">
        <v>70307</v>
      </c>
      <c r="J39">
        <v>68954</v>
      </c>
      <c r="K39">
        <f t="shared" si="4"/>
        <v>67617</v>
      </c>
      <c r="L39">
        <v>69587</v>
      </c>
      <c r="M39">
        <f t="shared" si="1"/>
        <v>58348</v>
      </c>
      <c r="O39">
        <v>68732</v>
      </c>
      <c r="P39">
        <v>67428</v>
      </c>
      <c r="Q39">
        <f t="shared" si="2"/>
        <v>66218</v>
      </c>
      <c r="R39">
        <v>67494</v>
      </c>
      <c r="S39">
        <v>67741</v>
      </c>
      <c r="T39">
        <v>65696</v>
      </c>
      <c r="U39">
        <f t="shared" si="3"/>
        <v>64498</v>
      </c>
      <c r="V39">
        <v>62798</v>
      </c>
    </row>
    <row r="40" spans="1:22" x14ac:dyDescent="0.25">
      <c r="A40" t="s">
        <v>58</v>
      </c>
      <c r="B40">
        <v>37229</v>
      </c>
      <c r="C40">
        <v>24081</v>
      </c>
      <c r="D40">
        <v>26852</v>
      </c>
      <c r="E40">
        <v>30157</v>
      </c>
      <c r="F40">
        <v>29940</v>
      </c>
      <c r="G40">
        <v>38607</v>
      </c>
      <c r="H40">
        <v>41260</v>
      </c>
      <c r="I40">
        <v>43814</v>
      </c>
      <c r="J40">
        <v>43422</v>
      </c>
      <c r="K40">
        <f t="shared" si="4"/>
        <v>42773</v>
      </c>
      <c r="L40">
        <v>96846</v>
      </c>
      <c r="M40">
        <f t="shared" si="1"/>
        <v>40257</v>
      </c>
      <c r="O40">
        <v>46415</v>
      </c>
      <c r="P40">
        <v>46584</v>
      </c>
      <c r="Q40">
        <f t="shared" si="2"/>
        <v>45820</v>
      </c>
      <c r="R40">
        <v>47395</v>
      </c>
      <c r="S40">
        <v>47762</v>
      </c>
      <c r="T40">
        <v>46869</v>
      </c>
      <c r="U40">
        <f t="shared" si="3"/>
        <v>47288</v>
      </c>
      <c r="V40">
        <v>46255</v>
      </c>
    </row>
    <row r="41" spans="1:22" x14ac:dyDescent="0.25">
      <c r="A41" t="s">
        <v>59</v>
      </c>
      <c r="B41" t="s">
        <v>50</v>
      </c>
      <c r="C41">
        <v>24220</v>
      </c>
      <c r="D41">
        <v>25398</v>
      </c>
      <c r="E41">
        <v>27910</v>
      </c>
      <c r="F41">
        <v>26954</v>
      </c>
      <c r="G41">
        <v>29201</v>
      </c>
      <c r="H41">
        <v>34234</v>
      </c>
      <c r="I41">
        <v>37151</v>
      </c>
      <c r="J41">
        <v>39032</v>
      </c>
      <c r="K41">
        <f t="shared" si="4"/>
        <v>39230</v>
      </c>
      <c r="L41">
        <v>45488</v>
      </c>
      <c r="M41">
        <f t="shared" si="1"/>
        <v>37912</v>
      </c>
      <c r="O41">
        <v>43151</v>
      </c>
      <c r="P41">
        <v>42748</v>
      </c>
      <c r="Q41">
        <f t="shared" si="2"/>
        <v>43973</v>
      </c>
      <c r="R41">
        <v>43872</v>
      </c>
      <c r="S41">
        <v>45905</v>
      </c>
      <c r="T41">
        <v>49986</v>
      </c>
      <c r="U41">
        <f t="shared" si="3"/>
        <v>49380</v>
      </c>
      <c r="V41">
        <v>27529</v>
      </c>
    </row>
    <row r="42" spans="1:22" x14ac:dyDescent="0.25">
      <c r="A42" t="s">
        <v>60</v>
      </c>
      <c r="V42">
        <v>20820</v>
      </c>
    </row>
    <row r="43" spans="1:22" x14ac:dyDescent="0.25">
      <c r="A43" t="s">
        <v>61</v>
      </c>
      <c r="B43">
        <v>61053</v>
      </c>
      <c r="C43">
        <v>60365</v>
      </c>
      <c r="D43">
        <v>62433</v>
      </c>
      <c r="E43">
        <v>68268</v>
      </c>
      <c r="F43">
        <v>66847</v>
      </c>
      <c r="G43">
        <v>74425</v>
      </c>
      <c r="H43">
        <v>83958</v>
      </c>
      <c r="I43">
        <v>91499</v>
      </c>
      <c r="J43">
        <v>96650</v>
      </c>
      <c r="K43">
        <f>K94+K145</f>
        <v>95335</v>
      </c>
      <c r="L43">
        <v>40042</v>
      </c>
      <c r="M43">
        <f>M94+M145</f>
        <v>89133</v>
      </c>
      <c r="O43">
        <v>103200</v>
      </c>
      <c r="P43">
        <v>101159</v>
      </c>
      <c r="Q43">
        <f>Q94+Q145</f>
        <v>101915</v>
      </c>
      <c r="R43">
        <v>101619</v>
      </c>
      <c r="S43">
        <v>106857</v>
      </c>
      <c r="T43">
        <v>111439</v>
      </c>
      <c r="U43">
        <f>U94+U145</f>
        <v>108938</v>
      </c>
      <c r="V43">
        <v>45010</v>
      </c>
    </row>
    <row r="44" spans="1:22" x14ac:dyDescent="0.25">
      <c r="A44" t="s">
        <v>62</v>
      </c>
      <c r="V44">
        <v>16335</v>
      </c>
    </row>
    <row r="45" spans="1:22" x14ac:dyDescent="0.25">
      <c r="A45" t="s">
        <v>63</v>
      </c>
      <c r="V45">
        <v>24377</v>
      </c>
    </row>
    <row r="46" spans="1:22" x14ac:dyDescent="0.25">
      <c r="A46" t="s">
        <v>64</v>
      </c>
      <c r="V46">
        <v>20990</v>
      </c>
    </row>
    <row r="47" spans="1:22" x14ac:dyDescent="0.25">
      <c r="A47" t="s">
        <v>65</v>
      </c>
      <c r="B47">
        <v>1240</v>
      </c>
      <c r="C47">
        <v>1020</v>
      </c>
      <c r="D47">
        <v>950</v>
      </c>
      <c r="E47">
        <v>875</v>
      </c>
      <c r="F47">
        <v>789</v>
      </c>
      <c r="G47" t="s">
        <v>50</v>
      </c>
      <c r="H47">
        <v>727</v>
      </c>
      <c r="I47" t="s">
        <v>50</v>
      </c>
      <c r="J47" t="s">
        <v>50</v>
      </c>
      <c r="K47" t="s">
        <v>50</v>
      </c>
      <c r="L47" t="s">
        <v>50</v>
      </c>
      <c r="Q47">
        <f>Q98+Q149</f>
        <v>73</v>
      </c>
      <c r="R47">
        <v>69</v>
      </c>
      <c r="S47">
        <v>60</v>
      </c>
      <c r="T47">
        <v>58</v>
      </c>
      <c r="U47">
        <f>U98+U149</f>
        <v>50</v>
      </c>
      <c r="V47">
        <v>13</v>
      </c>
    </row>
    <row r="48" spans="1:22" ht="24.95" customHeight="1" x14ac:dyDescent="0.25">
      <c r="A48" t="s">
        <v>66</v>
      </c>
      <c r="B48">
        <v>3585198</v>
      </c>
      <c r="C48">
        <v>3741495</v>
      </c>
      <c r="D48">
        <v>3725231</v>
      </c>
      <c r="E48">
        <v>4067201</v>
      </c>
      <c r="F48">
        <v>4083360</v>
      </c>
      <c r="G48">
        <v>4524205</v>
      </c>
      <c r="H48">
        <v>4598100</v>
      </c>
      <c r="I48">
        <v>4570818</v>
      </c>
      <c r="J48">
        <v>4467982</v>
      </c>
      <c r="K48">
        <f>K99+K150</f>
        <v>4362805</v>
      </c>
      <c r="L48">
        <v>4455303</v>
      </c>
      <c r="M48">
        <f>M99+M150</f>
        <v>4558425</v>
      </c>
      <c r="O48">
        <f>SUM(O9:O43)</f>
        <v>4374349</v>
      </c>
      <c r="P48">
        <f>SUM(P9:P43)</f>
        <v>4283850</v>
      </c>
      <c r="Q48">
        <f>SUM(Q9:Q47)</f>
        <v>4178064</v>
      </c>
      <c r="R48">
        <v>4189121</v>
      </c>
      <c r="S48">
        <v>4168118</v>
      </c>
      <c r="T48">
        <v>3995634</v>
      </c>
      <c r="U48">
        <f>U99+U150</f>
        <v>3890579</v>
      </c>
      <c r="V48">
        <f>V99+V150</f>
        <v>3732428</v>
      </c>
    </row>
    <row r="49" spans="1:22" ht="6" customHeight="1" x14ac:dyDescent="0.25"/>
    <row r="50" spans="1:22" x14ac:dyDescent="0.25">
      <c r="A50" t="s">
        <v>67</v>
      </c>
    </row>
    <row r="51" spans="1:22" x14ac:dyDescent="0.25">
      <c r="A51" t="s">
        <v>68</v>
      </c>
    </row>
    <row r="52" spans="1:22" x14ac:dyDescent="0.25">
      <c r="A52" s="15" t="s">
        <v>0</v>
      </c>
      <c r="B52" s="15"/>
      <c r="C52" s="15"/>
      <c r="D52" s="15"/>
      <c r="E52" s="15"/>
      <c r="F52" s="15"/>
      <c r="G52" s="15"/>
      <c r="H52" s="15"/>
      <c r="I52" s="15"/>
      <c r="J52" s="15"/>
      <c r="K52" s="15"/>
      <c r="L52" s="15"/>
      <c r="M52" s="15"/>
      <c r="N52" s="15"/>
      <c r="O52" s="15"/>
      <c r="P52" s="15"/>
      <c r="Q52" s="15"/>
      <c r="R52" s="15"/>
      <c r="S52" s="15"/>
      <c r="T52" s="15"/>
      <c r="U52" s="15"/>
      <c r="V52" s="15"/>
    </row>
    <row r="53" spans="1:22" x14ac:dyDescent="0.25">
      <c r="A53" s="15" t="s">
        <v>1</v>
      </c>
      <c r="B53" s="15"/>
      <c r="C53" s="15"/>
      <c r="D53" s="15"/>
      <c r="E53" s="15"/>
      <c r="F53" s="15"/>
      <c r="G53" s="15"/>
      <c r="H53" s="15"/>
      <c r="I53" s="15"/>
      <c r="J53" s="15"/>
      <c r="K53" s="15"/>
      <c r="L53" s="15"/>
      <c r="M53" s="15"/>
      <c r="N53" s="15"/>
      <c r="O53" s="15"/>
      <c r="P53" s="15"/>
      <c r="Q53" s="15"/>
      <c r="R53" s="15"/>
      <c r="S53" s="15"/>
      <c r="T53" s="15"/>
      <c r="U53" s="15"/>
      <c r="V53" s="15"/>
    </row>
    <row r="54" spans="1:22" x14ac:dyDescent="0.25">
      <c r="A54" t="s">
        <v>69</v>
      </c>
    </row>
    <row r="55" spans="1:22" x14ac:dyDescent="0.25">
      <c r="A55" s="15" t="s">
        <v>3</v>
      </c>
      <c r="B55" s="15">
        <v>2004</v>
      </c>
      <c r="C55" s="15">
        <v>2005</v>
      </c>
      <c r="D55" s="15">
        <v>2006</v>
      </c>
      <c r="E55" s="15">
        <v>2007</v>
      </c>
      <c r="F55" s="15">
        <v>2008</v>
      </c>
      <c r="G55" s="15">
        <v>2009</v>
      </c>
      <c r="H55" s="15">
        <v>2010</v>
      </c>
      <c r="I55" s="15">
        <v>2011</v>
      </c>
      <c r="J55" s="15">
        <v>2012</v>
      </c>
      <c r="K55" s="15">
        <v>2013</v>
      </c>
      <c r="L55" s="15">
        <v>2014</v>
      </c>
      <c r="M55" s="15">
        <v>2015</v>
      </c>
      <c r="N55" s="15"/>
      <c r="O55" s="15">
        <v>2016</v>
      </c>
      <c r="P55" s="15">
        <v>2017</v>
      </c>
      <c r="Q55" s="15">
        <v>2018</v>
      </c>
      <c r="R55" s="15">
        <v>2019</v>
      </c>
      <c r="S55" s="15">
        <v>2020</v>
      </c>
      <c r="T55" s="15">
        <v>2021</v>
      </c>
      <c r="U55" s="15">
        <v>2022</v>
      </c>
      <c r="V55" s="15">
        <v>2023</v>
      </c>
    </row>
    <row r="56" spans="1:22" x14ac:dyDescent="0.25">
      <c r="A56" s="15"/>
      <c r="B56" s="15"/>
      <c r="C56" s="15"/>
      <c r="D56" s="15"/>
      <c r="E56" s="15"/>
      <c r="F56" s="15"/>
      <c r="G56" s="15"/>
      <c r="H56" s="15"/>
      <c r="I56" s="15"/>
      <c r="J56" s="15"/>
      <c r="K56" s="15"/>
      <c r="L56" s="15"/>
      <c r="M56" s="15"/>
      <c r="N56" s="15"/>
      <c r="O56" s="15"/>
      <c r="P56" s="15"/>
      <c r="Q56" s="15"/>
      <c r="R56" s="15"/>
      <c r="S56" s="15"/>
      <c r="T56" s="15"/>
      <c r="U56" s="15"/>
      <c r="V56" s="15"/>
    </row>
    <row r="57" spans="1:22" x14ac:dyDescent="0.25">
      <c r="A57" s="15"/>
      <c r="B57" s="15"/>
      <c r="C57" s="15"/>
      <c r="D57" s="15"/>
      <c r="E57" s="15"/>
      <c r="F57" s="15"/>
      <c r="G57" s="15"/>
      <c r="H57" s="15"/>
      <c r="I57" s="15"/>
      <c r="J57" s="15"/>
      <c r="K57" s="15"/>
      <c r="L57" s="15"/>
      <c r="M57" s="15"/>
      <c r="N57" s="15"/>
      <c r="O57" s="15"/>
      <c r="P57" s="15"/>
      <c r="Q57" s="15"/>
      <c r="R57" s="15"/>
      <c r="S57" s="15"/>
      <c r="T57" s="15"/>
      <c r="U57" s="15"/>
      <c r="V57" s="15"/>
    </row>
    <row r="58" spans="1:22" x14ac:dyDescent="0.25">
      <c r="A58" s="15"/>
      <c r="B58" s="15"/>
      <c r="C58" s="15"/>
      <c r="D58" s="15"/>
      <c r="E58" s="15"/>
      <c r="F58" s="15"/>
      <c r="G58" s="15"/>
      <c r="H58" s="15"/>
      <c r="I58" s="15"/>
      <c r="J58" s="15"/>
      <c r="K58" s="15"/>
      <c r="L58" s="15"/>
      <c r="M58" s="15"/>
      <c r="N58" s="15"/>
      <c r="O58" s="15"/>
      <c r="P58" s="15"/>
      <c r="Q58" s="15"/>
      <c r="R58" s="15"/>
      <c r="S58" s="15"/>
      <c r="T58" s="15"/>
      <c r="U58" s="15"/>
      <c r="V58" s="15"/>
    </row>
    <row r="59" spans="1:22" x14ac:dyDescent="0.25">
      <c r="A59" t="s">
        <v>4</v>
      </c>
      <c r="B59" t="s">
        <v>5</v>
      </c>
      <c r="C59" t="s">
        <v>6</v>
      </c>
      <c r="D59" t="s">
        <v>7</v>
      </c>
      <c r="E59" t="s">
        <v>8</v>
      </c>
      <c r="F59" t="s">
        <v>9</v>
      </c>
      <c r="G59" t="s">
        <v>10</v>
      </c>
      <c r="H59" t="s">
        <v>11</v>
      </c>
      <c r="I59" t="s">
        <v>12</v>
      </c>
      <c r="J59" t="s">
        <v>13</v>
      </c>
      <c r="K59" t="s">
        <v>14</v>
      </c>
      <c r="L59" t="s">
        <v>15</v>
      </c>
      <c r="M59" s="15" t="s">
        <v>16</v>
      </c>
      <c r="N59" s="15"/>
      <c r="O59" t="s">
        <v>17</v>
      </c>
      <c r="P59" t="s">
        <v>18</v>
      </c>
      <c r="Q59" t="s">
        <v>19</v>
      </c>
      <c r="R59" t="s">
        <v>20</v>
      </c>
      <c r="S59" t="s">
        <v>21</v>
      </c>
      <c r="T59" t="s">
        <v>22</v>
      </c>
      <c r="U59" t="s">
        <v>23</v>
      </c>
      <c r="V59" t="s">
        <v>24</v>
      </c>
    </row>
    <row r="60" spans="1:22" ht="12.75" customHeight="1" x14ac:dyDescent="0.25">
      <c r="A60" t="s">
        <v>25</v>
      </c>
      <c r="B60">
        <v>53872</v>
      </c>
      <c r="C60">
        <v>57240</v>
      </c>
      <c r="D60">
        <v>60375</v>
      </c>
      <c r="E60">
        <v>66164</v>
      </c>
      <c r="F60">
        <v>67886</v>
      </c>
      <c r="G60">
        <v>75744</v>
      </c>
      <c r="H60">
        <v>78325</v>
      </c>
      <c r="I60">
        <v>75736</v>
      </c>
      <c r="J60">
        <v>74600</v>
      </c>
      <c r="K60">
        <v>74131</v>
      </c>
      <c r="L60">
        <v>75060</v>
      </c>
      <c r="M60">
        <v>60385</v>
      </c>
      <c r="O60">
        <v>73615</v>
      </c>
      <c r="P60">
        <v>72048</v>
      </c>
      <c r="Q60">
        <v>70013</v>
      </c>
      <c r="R60">
        <v>69722</v>
      </c>
      <c r="S60">
        <v>69135</v>
      </c>
      <c r="T60">
        <v>66312</v>
      </c>
      <c r="U60">
        <v>65237</v>
      </c>
      <c r="V60">
        <v>63052</v>
      </c>
    </row>
    <row r="61" spans="1:22" ht="12.75" customHeight="1" x14ac:dyDescent="0.25">
      <c r="A61" t="s">
        <v>26</v>
      </c>
      <c r="B61">
        <v>99160</v>
      </c>
      <c r="C61">
        <v>102235</v>
      </c>
      <c r="D61">
        <v>101304</v>
      </c>
      <c r="E61">
        <v>107601</v>
      </c>
      <c r="F61">
        <v>105039</v>
      </c>
      <c r="G61">
        <v>111540</v>
      </c>
      <c r="H61">
        <v>115931</v>
      </c>
      <c r="I61">
        <v>110983</v>
      </c>
      <c r="J61">
        <v>108183</v>
      </c>
      <c r="K61">
        <v>104866</v>
      </c>
      <c r="L61">
        <v>106401</v>
      </c>
      <c r="M61">
        <v>87489</v>
      </c>
      <c r="O61">
        <v>102308</v>
      </c>
      <c r="P61">
        <v>98844</v>
      </c>
      <c r="Q61">
        <v>94144</v>
      </c>
      <c r="R61">
        <v>92682</v>
      </c>
      <c r="S61">
        <v>90133</v>
      </c>
      <c r="T61">
        <v>84966</v>
      </c>
      <c r="U61">
        <v>81081</v>
      </c>
      <c r="V61">
        <v>77991</v>
      </c>
    </row>
    <row r="62" spans="1:22" ht="12.75" customHeight="1" x14ac:dyDescent="0.25">
      <c r="A62" t="s">
        <v>27</v>
      </c>
      <c r="B62">
        <v>50456</v>
      </c>
      <c r="C62">
        <v>52345</v>
      </c>
      <c r="D62">
        <v>52622</v>
      </c>
      <c r="E62">
        <v>56638</v>
      </c>
      <c r="F62">
        <v>54728</v>
      </c>
      <c r="G62">
        <v>58212</v>
      </c>
      <c r="H62">
        <v>58303</v>
      </c>
      <c r="I62">
        <v>57039</v>
      </c>
      <c r="J62">
        <v>55647</v>
      </c>
      <c r="K62">
        <v>54069</v>
      </c>
      <c r="L62">
        <v>54767</v>
      </c>
      <c r="M62">
        <v>42409</v>
      </c>
      <c r="O62">
        <v>52434</v>
      </c>
      <c r="P62">
        <v>50386</v>
      </c>
      <c r="Q62">
        <v>48268</v>
      </c>
      <c r="R62">
        <v>47860</v>
      </c>
      <c r="S62">
        <v>46824</v>
      </c>
      <c r="T62">
        <v>44315</v>
      </c>
      <c r="U62">
        <v>42683</v>
      </c>
      <c r="V62">
        <v>40551</v>
      </c>
    </row>
    <row r="63" spans="1:22" ht="12.75" customHeight="1" x14ac:dyDescent="0.25">
      <c r="A63" t="s">
        <v>28</v>
      </c>
      <c r="B63">
        <v>38463</v>
      </c>
      <c r="C63">
        <v>39967</v>
      </c>
      <c r="D63">
        <v>40003</v>
      </c>
      <c r="E63">
        <v>44209</v>
      </c>
      <c r="F63">
        <v>45968</v>
      </c>
      <c r="G63">
        <v>49997</v>
      </c>
      <c r="H63">
        <v>50784</v>
      </c>
      <c r="I63">
        <v>50031</v>
      </c>
      <c r="J63">
        <v>48961</v>
      </c>
      <c r="K63">
        <v>48369</v>
      </c>
      <c r="L63">
        <v>48371</v>
      </c>
      <c r="M63">
        <v>40795</v>
      </c>
      <c r="O63">
        <v>47992</v>
      </c>
      <c r="P63">
        <v>46881</v>
      </c>
      <c r="Q63">
        <v>45415</v>
      </c>
      <c r="R63">
        <v>45126</v>
      </c>
      <c r="S63">
        <v>44453</v>
      </c>
      <c r="T63">
        <v>42424</v>
      </c>
      <c r="U63">
        <v>41081</v>
      </c>
      <c r="V63">
        <v>39452</v>
      </c>
    </row>
    <row r="64" spans="1:22" ht="12.75" customHeight="1" x14ac:dyDescent="0.25">
      <c r="A64" t="s">
        <v>29</v>
      </c>
      <c r="B64">
        <v>35206</v>
      </c>
      <c r="C64">
        <v>36771</v>
      </c>
      <c r="D64">
        <v>36538</v>
      </c>
      <c r="E64">
        <v>39098</v>
      </c>
      <c r="F64">
        <v>39483</v>
      </c>
      <c r="G64">
        <v>43400</v>
      </c>
      <c r="H64">
        <v>44001</v>
      </c>
      <c r="I64">
        <v>43259</v>
      </c>
      <c r="J64">
        <v>42017</v>
      </c>
      <c r="K64">
        <v>40964</v>
      </c>
      <c r="L64">
        <v>41366</v>
      </c>
      <c r="M64">
        <v>33802</v>
      </c>
      <c r="O64">
        <v>39836</v>
      </c>
      <c r="P64">
        <v>38485</v>
      </c>
      <c r="Q64">
        <v>37039</v>
      </c>
      <c r="R64">
        <v>36292</v>
      </c>
      <c r="S64">
        <v>35676</v>
      </c>
      <c r="T64">
        <v>33802</v>
      </c>
      <c r="U64">
        <v>32217</v>
      </c>
      <c r="V64">
        <v>30994</v>
      </c>
    </row>
    <row r="65" spans="1:22" ht="12.75" customHeight="1" x14ac:dyDescent="0.25">
      <c r="A65" t="s">
        <v>30</v>
      </c>
      <c r="B65">
        <v>57488</v>
      </c>
      <c r="C65">
        <v>59346</v>
      </c>
      <c r="D65">
        <v>58773</v>
      </c>
      <c r="E65">
        <v>62710</v>
      </c>
      <c r="F65">
        <v>62421</v>
      </c>
      <c r="G65">
        <v>67403</v>
      </c>
      <c r="H65">
        <v>68796</v>
      </c>
      <c r="I65">
        <v>66960</v>
      </c>
      <c r="J65">
        <v>64997</v>
      </c>
      <c r="K65">
        <v>62503</v>
      </c>
      <c r="L65">
        <v>64954</v>
      </c>
      <c r="M65">
        <v>52973</v>
      </c>
      <c r="O65">
        <v>62349</v>
      </c>
      <c r="P65">
        <v>60231</v>
      </c>
      <c r="Q65">
        <v>57719</v>
      </c>
      <c r="R65">
        <v>56757</v>
      </c>
      <c r="S65">
        <v>55972</v>
      </c>
      <c r="T65">
        <v>53071</v>
      </c>
      <c r="U65">
        <v>51153</v>
      </c>
      <c r="V65">
        <v>48894</v>
      </c>
    </row>
    <row r="66" spans="1:22" ht="12.75" customHeight="1" x14ac:dyDescent="0.25">
      <c r="A66" t="s">
        <v>31</v>
      </c>
      <c r="B66">
        <v>26051</v>
      </c>
      <c r="C66">
        <v>27421</v>
      </c>
      <c r="D66">
        <v>28438</v>
      </c>
      <c r="E66">
        <v>29505</v>
      </c>
      <c r="F66">
        <v>29858</v>
      </c>
      <c r="G66">
        <v>33680</v>
      </c>
      <c r="H66">
        <v>34191</v>
      </c>
      <c r="I66">
        <v>33670</v>
      </c>
      <c r="J66">
        <v>32776</v>
      </c>
      <c r="K66">
        <v>31612</v>
      </c>
      <c r="L66">
        <v>31718</v>
      </c>
      <c r="M66">
        <v>26238</v>
      </c>
      <c r="O66">
        <v>30499</v>
      </c>
      <c r="P66">
        <v>29468</v>
      </c>
      <c r="Q66">
        <v>28141</v>
      </c>
      <c r="R66">
        <v>27880</v>
      </c>
      <c r="S66">
        <v>26742</v>
      </c>
      <c r="T66">
        <v>25528</v>
      </c>
      <c r="U66">
        <v>24379</v>
      </c>
      <c r="V66">
        <v>23274</v>
      </c>
    </row>
    <row r="67" spans="1:22" ht="12.75" customHeight="1" x14ac:dyDescent="0.25">
      <c r="A67" t="s">
        <v>32</v>
      </c>
      <c r="B67">
        <v>57919</v>
      </c>
      <c r="C67">
        <v>59622</v>
      </c>
      <c r="D67">
        <v>58162</v>
      </c>
      <c r="E67">
        <v>61870</v>
      </c>
      <c r="F67">
        <v>63677</v>
      </c>
      <c r="G67">
        <v>68442</v>
      </c>
      <c r="H67">
        <v>67761</v>
      </c>
      <c r="I67">
        <v>67090</v>
      </c>
      <c r="J67">
        <v>64347</v>
      </c>
      <c r="K67">
        <v>61287</v>
      </c>
      <c r="L67">
        <v>63848</v>
      </c>
      <c r="M67">
        <v>52673</v>
      </c>
      <c r="O67">
        <v>60800</v>
      </c>
      <c r="P67">
        <v>58824</v>
      </c>
      <c r="Q67">
        <v>56257</v>
      </c>
      <c r="R67">
        <v>55592</v>
      </c>
      <c r="S67">
        <v>54416</v>
      </c>
      <c r="T67">
        <v>51300</v>
      </c>
      <c r="U67">
        <v>49146</v>
      </c>
      <c r="V67">
        <v>46713</v>
      </c>
    </row>
    <row r="68" spans="1:22" ht="12.75" customHeight="1" x14ac:dyDescent="0.25">
      <c r="A68" t="s">
        <v>33</v>
      </c>
      <c r="B68">
        <v>9842</v>
      </c>
      <c r="C68">
        <v>10894</v>
      </c>
      <c r="D68">
        <v>11520</v>
      </c>
      <c r="E68">
        <v>12243</v>
      </c>
      <c r="F68">
        <v>12573</v>
      </c>
      <c r="G68">
        <v>14345</v>
      </c>
      <c r="H68">
        <v>15206</v>
      </c>
      <c r="I68">
        <v>15588</v>
      </c>
      <c r="J68">
        <v>15391</v>
      </c>
      <c r="K68">
        <v>15205</v>
      </c>
      <c r="L68">
        <v>15718</v>
      </c>
      <c r="M68">
        <v>13102</v>
      </c>
      <c r="O68">
        <v>15406</v>
      </c>
      <c r="P68">
        <v>15239</v>
      </c>
      <c r="Q68">
        <v>14750</v>
      </c>
      <c r="R68">
        <v>15079</v>
      </c>
      <c r="S68">
        <v>15170</v>
      </c>
      <c r="T68">
        <v>14608</v>
      </c>
      <c r="U68">
        <v>14508</v>
      </c>
      <c r="V68">
        <v>14120</v>
      </c>
    </row>
    <row r="69" spans="1:22" ht="12.75" customHeight="1" x14ac:dyDescent="0.25">
      <c r="A69" t="s">
        <v>34</v>
      </c>
      <c r="B69">
        <v>10214</v>
      </c>
      <c r="C69">
        <v>11194</v>
      </c>
      <c r="D69">
        <v>11826</v>
      </c>
      <c r="E69">
        <v>14421</v>
      </c>
      <c r="F69">
        <v>15230</v>
      </c>
      <c r="G69">
        <v>17713</v>
      </c>
      <c r="H69">
        <v>18407</v>
      </c>
      <c r="I69">
        <v>18862</v>
      </c>
      <c r="J69">
        <v>18926</v>
      </c>
      <c r="K69">
        <v>18925</v>
      </c>
      <c r="L69">
        <v>19527</v>
      </c>
      <c r="M69">
        <v>13800</v>
      </c>
      <c r="O69">
        <v>20265</v>
      </c>
      <c r="P69">
        <v>20345</v>
      </c>
      <c r="Q69">
        <v>19976</v>
      </c>
      <c r="R69">
        <v>20455</v>
      </c>
      <c r="S69">
        <v>20623</v>
      </c>
      <c r="T69">
        <v>20206</v>
      </c>
      <c r="U69">
        <v>20513</v>
      </c>
      <c r="V69">
        <v>19958</v>
      </c>
    </row>
    <row r="70" spans="1:22" ht="12.75" customHeight="1" x14ac:dyDescent="0.25">
      <c r="A70" t="s">
        <v>35</v>
      </c>
      <c r="B70">
        <v>165597</v>
      </c>
      <c r="C70">
        <v>170606</v>
      </c>
      <c r="D70">
        <v>167814</v>
      </c>
      <c r="E70">
        <v>171649</v>
      </c>
      <c r="F70">
        <v>167669</v>
      </c>
      <c r="G70">
        <v>178418</v>
      </c>
      <c r="H70">
        <v>177415</v>
      </c>
      <c r="I70">
        <v>180356</v>
      </c>
      <c r="J70">
        <v>169948</v>
      </c>
      <c r="K70">
        <v>166214</v>
      </c>
      <c r="L70">
        <v>158944</v>
      </c>
      <c r="M70">
        <v>614456</v>
      </c>
      <c r="N70" t="s">
        <v>36</v>
      </c>
      <c r="O70">
        <v>150499</v>
      </c>
      <c r="P70">
        <v>146941</v>
      </c>
      <c r="Q70">
        <v>147255</v>
      </c>
      <c r="R70">
        <v>146603</v>
      </c>
      <c r="S70">
        <v>143843</v>
      </c>
      <c r="T70">
        <v>139115</v>
      </c>
      <c r="U70">
        <v>134463</v>
      </c>
      <c r="V70">
        <v>126234</v>
      </c>
    </row>
    <row r="71" spans="1:22" ht="12.75" customHeight="1" x14ac:dyDescent="0.25">
      <c r="A71" t="s">
        <v>37</v>
      </c>
      <c r="B71">
        <v>247643</v>
      </c>
      <c r="C71">
        <v>252129</v>
      </c>
      <c r="D71">
        <v>239453</v>
      </c>
      <c r="E71">
        <v>260500</v>
      </c>
      <c r="F71">
        <v>259003</v>
      </c>
      <c r="G71">
        <v>272323</v>
      </c>
      <c r="H71">
        <v>267666</v>
      </c>
      <c r="I71">
        <v>252867</v>
      </c>
      <c r="J71">
        <v>245485</v>
      </c>
      <c r="K71">
        <v>234076</v>
      </c>
      <c r="L71">
        <v>240386</v>
      </c>
      <c r="M71">
        <v>180086</v>
      </c>
      <c r="O71">
        <v>228872</v>
      </c>
      <c r="P71">
        <v>220079</v>
      </c>
      <c r="Q71">
        <v>209351</v>
      </c>
      <c r="R71">
        <v>201856</v>
      </c>
      <c r="S71">
        <v>193994</v>
      </c>
      <c r="T71">
        <v>180654</v>
      </c>
      <c r="U71">
        <v>169294</v>
      </c>
      <c r="V71">
        <v>160751</v>
      </c>
    </row>
    <row r="72" spans="1:22" ht="12.75" customHeight="1" x14ac:dyDescent="0.25">
      <c r="A72" t="s">
        <v>38</v>
      </c>
      <c r="B72">
        <v>277173</v>
      </c>
      <c r="C72">
        <v>281407</v>
      </c>
      <c r="D72">
        <v>265766</v>
      </c>
      <c r="E72">
        <v>277337</v>
      </c>
      <c r="F72">
        <v>270442</v>
      </c>
      <c r="G72">
        <v>282040</v>
      </c>
      <c r="H72">
        <v>275879</v>
      </c>
      <c r="I72">
        <v>262830</v>
      </c>
      <c r="J72">
        <v>251594</v>
      </c>
      <c r="K72">
        <v>238279</v>
      </c>
      <c r="L72">
        <v>239437</v>
      </c>
      <c r="M72">
        <v>193952</v>
      </c>
      <c r="O72">
        <v>226563</v>
      </c>
      <c r="P72">
        <v>214784</v>
      </c>
      <c r="Q72">
        <v>203117</v>
      </c>
      <c r="R72">
        <v>195250</v>
      </c>
      <c r="S72">
        <v>187676</v>
      </c>
      <c r="T72">
        <v>173354</v>
      </c>
      <c r="U72">
        <v>163174</v>
      </c>
      <c r="V72">
        <v>153290</v>
      </c>
    </row>
    <row r="73" spans="1:22" ht="12.75" customHeight="1" x14ac:dyDescent="0.25">
      <c r="A73" t="s">
        <v>39</v>
      </c>
      <c r="B73">
        <v>55321</v>
      </c>
      <c r="C73">
        <v>55668</v>
      </c>
      <c r="D73">
        <v>53174</v>
      </c>
      <c r="E73">
        <v>53767</v>
      </c>
      <c r="F73">
        <v>51171</v>
      </c>
      <c r="G73">
        <v>53099</v>
      </c>
      <c r="H73">
        <v>51271</v>
      </c>
      <c r="I73">
        <v>48713</v>
      </c>
      <c r="J73">
        <v>46753</v>
      </c>
      <c r="K73">
        <v>44231</v>
      </c>
      <c r="L73">
        <v>44314</v>
      </c>
      <c r="M73">
        <v>28137</v>
      </c>
      <c r="O73">
        <v>43147</v>
      </c>
      <c r="P73">
        <v>40710</v>
      </c>
      <c r="Q73">
        <v>38548</v>
      </c>
      <c r="R73">
        <v>37004</v>
      </c>
      <c r="S73">
        <v>35583</v>
      </c>
      <c r="T73">
        <v>33213</v>
      </c>
      <c r="U73">
        <v>31365</v>
      </c>
      <c r="V73">
        <v>29895</v>
      </c>
    </row>
    <row r="74" spans="1:22" ht="12.75" customHeight="1" x14ac:dyDescent="0.25">
      <c r="A74" t="s">
        <v>40</v>
      </c>
      <c r="B74">
        <v>279610</v>
      </c>
      <c r="C74">
        <v>283457</v>
      </c>
      <c r="D74">
        <v>266501</v>
      </c>
      <c r="E74">
        <v>285668</v>
      </c>
      <c r="F74">
        <v>279747</v>
      </c>
      <c r="G74">
        <v>305428</v>
      </c>
      <c r="H74">
        <v>298778</v>
      </c>
      <c r="I74">
        <v>287527</v>
      </c>
      <c r="J74">
        <v>276937</v>
      </c>
      <c r="K74">
        <v>266573</v>
      </c>
      <c r="L74">
        <v>266584</v>
      </c>
      <c r="M74">
        <v>216583</v>
      </c>
      <c r="O74">
        <v>254034</v>
      </c>
      <c r="P74">
        <v>242326</v>
      </c>
      <c r="Q74">
        <v>230983</v>
      </c>
      <c r="R74">
        <v>225144</v>
      </c>
      <c r="S74">
        <v>217446</v>
      </c>
      <c r="T74">
        <v>200093</v>
      </c>
      <c r="U74">
        <v>185877</v>
      </c>
      <c r="V74">
        <v>174391</v>
      </c>
    </row>
    <row r="75" spans="1:22" ht="12.75" customHeight="1" x14ac:dyDescent="0.25">
      <c r="A75" t="s">
        <v>41</v>
      </c>
      <c r="B75">
        <v>46516</v>
      </c>
      <c r="C75">
        <v>48032</v>
      </c>
      <c r="D75">
        <v>46747</v>
      </c>
      <c r="E75">
        <v>51022</v>
      </c>
      <c r="F75">
        <v>51961</v>
      </c>
      <c r="G75">
        <v>55573</v>
      </c>
      <c r="H75">
        <v>54966</v>
      </c>
      <c r="I75">
        <v>53242</v>
      </c>
      <c r="J75">
        <v>51693</v>
      </c>
      <c r="K75">
        <v>50545</v>
      </c>
      <c r="L75">
        <v>52757</v>
      </c>
      <c r="M75">
        <v>40050</v>
      </c>
      <c r="O75">
        <v>50992</v>
      </c>
      <c r="P75">
        <v>49934</v>
      </c>
      <c r="Q75">
        <v>47852</v>
      </c>
      <c r="R75">
        <v>47266</v>
      </c>
      <c r="S75">
        <v>46006</v>
      </c>
      <c r="T75">
        <v>43357</v>
      </c>
      <c r="U75">
        <v>41816</v>
      </c>
      <c r="V75">
        <v>40824</v>
      </c>
    </row>
    <row r="76" spans="1:22" ht="12.75" customHeight="1" x14ac:dyDescent="0.25">
      <c r="A76" t="s">
        <v>42</v>
      </c>
      <c r="B76">
        <v>51909</v>
      </c>
      <c r="C76">
        <v>52856</v>
      </c>
      <c r="D76">
        <v>53194</v>
      </c>
      <c r="E76">
        <v>55097</v>
      </c>
      <c r="F76">
        <v>52559</v>
      </c>
      <c r="G76">
        <v>60097</v>
      </c>
      <c r="H76">
        <v>60058</v>
      </c>
      <c r="I76">
        <v>57743</v>
      </c>
      <c r="J76">
        <v>55784</v>
      </c>
      <c r="K76">
        <v>54266</v>
      </c>
      <c r="L76">
        <v>53859</v>
      </c>
      <c r="M76">
        <v>41410</v>
      </c>
      <c r="O76">
        <v>52898</v>
      </c>
      <c r="P76">
        <v>50109</v>
      </c>
      <c r="Q76">
        <v>48968</v>
      </c>
      <c r="R76">
        <v>46348</v>
      </c>
      <c r="S76">
        <v>45781</v>
      </c>
      <c r="T76">
        <v>42821</v>
      </c>
      <c r="U76">
        <v>40462</v>
      </c>
      <c r="V76">
        <v>37635</v>
      </c>
    </row>
    <row r="77" spans="1:22" ht="12.75" customHeight="1" x14ac:dyDescent="0.25">
      <c r="A77" t="s">
        <v>43</v>
      </c>
      <c r="B77">
        <v>48023</v>
      </c>
      <c r="C77">
        <v>49624</v>
      </c>
      <c r="D77">
        <v>49466</v>
      </c>
      <c r="E77">
        <v>54491</v>
      </c>
      <c r="F77">
        <v>52568</v>
      </c>
      <c r="G77">
        <v>60248</v>
      </c>
      <c r="H77">
        <v>59937</v>
      </c>
      <c r="I77">
        <v>58402</v>
      </c>
      <c r="J77">
        <v>56839</v>
      </c>
      <c r="K77">
        <v>55789</v>
      </c>
      <c r="L77">
        <v>55702</v>
      </c>
      <c r="M77">
        <v>47436</v>
      </c>
      <c r="O77">
        <v>55355</v>
      </c>
      <c r="P77">
        <v>52741</v>
      </c>
      <c r="Q77">
        <v>51583</v>
      </c>
      <c r="R77">
        <v>49525</v>
      </c>
      <c r="S77">
        <v>49729</v>
      </c>
      <c r="T77">
        <v>47051</v>
      </c>
      <c r="U77">
        <v>45438</v>
      </c>
      <c r="V77">
        <v>43181</v>
      </c>
    </row>
    <row r="78" spans="1:22" ht="12.75" customHeight="1" x14ac:dyDescent="0.25">
      <c r="A78" t="s">
        <v>44</v>
      </c>
      <c r="B78">
        <v>60228</v>
      </c>
      <c r="C78">
        <v>61960</v>
      </c>
      <c r="D78">
        <v>60955</v>
      </c>
      <c r="E78">
        <v>66142</v>
      </c>
      <c r="F78">
        <v>64091</v>
      </c>
      <c r="G78">
        <v>71012</v>
      </c>
      <c r="H78">
        <v>72799</v>
      </c>
      <c r="I78">
        <v>72182</v>
      </c>
      <c r="J78">
        <v>69923</v>
      </c>
      <c r="K78">
        <v>68838</v>
      </c>
      <c r="L78">
        <v>69075</v>
      </c>
      <c r="M78">
        <v>60983</v>
      </c>
      <c r="O78">
        <v>68131</v>
      </c>
      <c r="P78">
        <v>65666</v>
      </c>
      <c r="Q78">
        <v>63242</v>
      </c>
      <c r="R78">
        <v>62664</v>
      </c>
      <c r="S78">
        <v>61809</v>
      </c>
      <c r="T78">
        <v>58511</v>
      </c>
      <c r="U78">
        <v>56808</v>
      </c>
      <c r="V78">
        <v>53988</v>
      </c>
    </row>
    <row r="79" spans="1:22" ht="12.75" customHeight="1" x14ac:dyDescent="0.25">
      <c r="A79" t="s">
        <v>45</v>
      </c>
      <c r="B79">
        <v>45969</v>
      </c>
      <c r="C79">
        <v>47762</v>
      </c>
      <c r="D79">
        <v>47689</v>
      </c>
      <c r="E79">
        <v>49887</v>
      </c>
      <c r="F79">
        <v>50469</v>
      </c>
      <c r="G79">
        <v>54050</v>
      </c>
      <c r="H79">
        <v>54035</v>
      </c>
      <c r="I79">
        <v>53236</v>
      </c>
      <c r="J79">
        <v>51600</v>
      </c>
      <c r="K79">
        <v>50259</v>
      </c>
      <c r="L79">
        <v>51618</v>
      </c>
      <c r="M79">
        <v>42992</v>
      </c>
      <c r="O79">
        <v>49864</v>
      </c>
      <c r="P79">
        <v>48460</v>
      </c>
      <c r="Q79">
        <v>46466</v>
      </c>
      <c r="R79">
        <v>45978</v>
      </c>
      <c r="S79">
        <v>45475</v>
      </c>
      <c r="T79">
        <v>43221</v>
      </c>
      <c r="U79">
        <v>42166</v>
      </c>
      <c r="V79">
        <v>39925</v>
      </c>
    </row>
    <row r="80" spans="1:22" ht="12.75" customHeight="1" x14ac:dyDescent="0.25">
      <c r="A80" t="s">
        <v>46</v>
      </c>
      <c r="B80">
        <v>31392</v>
      </c>
      <c r="C80">
        <v>32795</v>
      </c>
      <c r="D80">
        <v>33282</v>
      </c>
      <c r="E80">
        <v>37240</v>
      </c>
      <c r="F80">
        <v>35926</v>
      </c>
      <c r="G80">
        <v>40765</v>
      </c>
      <c r="H80">
        <v>40931</v>
      </c>
      <c r="I80">
        <v>41121</v>
      </c>
      <c r="J80">
        <v>40278</v>
      </c>
      <c r="K80">
        <v>39607</v>
      </c>
      <c r="L80">
        <v>40315</v>
      </c>
      <c r="M80">
        <v>34227</v>
      </c>
      <c r="O80">
        <v>38714</v>
      </c>
      <c r="P80">
        <v>37713</v>
      </c>
      <c r="Q80">
        <v>36464</v>
      </c>
      <c r="R80">
        <v>36654</v>
      </c>
      <c r="S80">
        <v>36291</v>
      </c>
      <c r="T80">
        <v>34812</v>
      </c>
      <c r="U80">
        <v>34188</v>
      </c>
      <c r="V80">
        <v>32657</v>
      </c>
    </row>
    <row r="81" spans="1:22" ht="12.75" customHeight="1" x14ac:dyDescent="0.25">
      <c r="A81" t="s">
        <v>47</v>
      </c>
      <c r="B81">
        <v>42945</v>
      </c>
      <c r="C81">
        <v>44208</v>
      </c>
      <c r="D81">
        <v>44666</v>
      </c>
      <c r="E81">
        <v>48146</v>
      </c>
      <c r="F81">
        <v>45807</v>
      </c>
      <c r="G81">
        <v>51037</v>
      </c>
      <c r="H81">
        <v>51021</v>
      </c>
      <c r="I81">
        <v>50362</v>
      </c>
      <c r="J81">
        <v>49256</v>
      </c>
      <c r="K81">
        <v>47835</v>
      </c>
      <c r="L81">
        <v>48442</v>
      </c>
      <c r="M81">
        <v>38269</v>
      </c>
      <c r="O81">
        <v>46655</v>
      </c>
      <c r="P81">
        <v>45308</v>
      </c>
      <c r="Q81">
        <v>43558</v>
      </c>
      <c r="R81">
        <v>43212</v>
      </c>
      <c r="S81">
        <v>42238</v>
      </c>
      <c r="T81">
        <v>40143</v>
      </c>
      <c r="U81">
        <v>39039</v>
      </c>
      <c r="V81">
        <v>37372</v>
      </c>
    </row>
    <row r="82" spans="1:22" ht="12.75" customHeight="1" x14ac:dyDescent="0.25">
      <c r="A82" t="s">
        <v>48</v>
      </c>
      <c r="B82">
        <v>40783</v>
      </c>
      <c r="C82">
        <v>42223</v>
      </c>
      <c r="D82">
        <v>43054</v>
      </c>
      <c r="E82">
        <v>48036</v>
      </c>
      <c r="F82">
        <v>46499</v>
      </c>
      <c r="G82">
        <v>57472</v>
      </c>
      <c r="H82">
        <v>57919</v>
      </c>
      <c r="I82">
        <v>57875</v>
      </c>
      <c r="J82">
        <v>56762</v>
      </c>
      <c r="K82">
        <v>55593</v>
      </c>
      <c r="L82">
        <v>49333</v>
      </c>
      <c r="M82">
        <v>37629</v>
      </c>
      <c r="O82">
        <v>43954</v>
      </c>
      <c r="P82">
        <v>43101</v>
      </c>
      <c r="Q82">
        <v>41962</v>
      </c>
      <c r="R82">
        <v>41614</v>
      </c>
      <c r="S82">
        <v>40778</v>
      </c>
      <c r="T82">
        <v>39056</v>
      </c>
      <c r="U82">
        <v>37854</v>
      </c>
      <c r="V82">
        <v>36127</v>
      </c>
    </row>
    <row r="83" spans="1:22" ht="12.75" customHeight="1" x14ac:dyDescent="0.25">
      <c r="A83" t="s">
        <v>49</v>
      </c>
      <c r="B83" t="s">
        <v>50</v>
      </c>
      <c r="C83" t="s">
        <v>50</v>
      </c>
      <c r="D83" t="s">
        <v>50</v>
      </c>
      <c r="E83" t="s">
        <v>50</v>
      </c>
      <c r="F83" t="s">
        <v>50</v>
      </c>
      <c r="G83" t="s">
        <v>50</v>
      </c>
      <c r="H83" t="s">
        <v>50</v>
      </c>
      <c r="I83" t="s">
        <v>50</v>
      </c>
      <c r="J83" t="s">
        <v>50</v>
      </c>
      <c r="K83" t="s">
        <v>50</v>
      </c>
      <c r="L83">
        <v>7630</v>
      </c>
      <c r="M83">
        <v>10417</v>
      </c>
      <c r="O83">
        <v>12022</v>
      </c>
      <c r="P83">
        <v>11939</v>
      </c>
      <c r="Q83">
        <v>11938</v>
      </c>
      <c r="R83">
        <v>12269</v>
      </c>
      <c r="S83">
        <v>12239</v>
      </c>
      <c r="T83">
        <v>12042</v>
      </c>
      <c r="U83">
        <v>12206</v>
      </c>
      <c r="V83">
        <v>11822</v>
      </c>
    </row>
    <row r="84" spans="1:22" ht="12.75" customHeight="1" x14ac:dyDescent="0.25">
      <c r="A84" t="s">
        <v>51</v>
      </c>
      <c r="B84">
        <v>29381</v>
      </c>
      <c r="C84">
        <v>30287</v>
      </c>
      <c r="D84">
        <v>30661</v>
      </c>
      <c r="E84">
        <v>31667</v>
      </c>
      <c r="F84">
        <v>30174</v>
      </c>
      <c r="G84">
        <v>34834</v>
      </c>
      <c r="H84">
        <v>34042</v>
      </c>
      <c r="I84">
        <v>33950</v>
      </c>
      <c r="J84">
        <v>33134</v>
      </c>
      <c r="K84">
        <v>32453</v>
      </c>
      <c r="L84">
        <v>33268</v>
      </c>
      <c r="M84">
        <v>25045</v>
      </c>
      <c r="O84">
        <v>31913</v>
      </c>
      <c r="P84">
        <v>30834</v>
      </c>
      <c r="Q84">
        <v>29903</v>
      </c>
      <c r="R84">
        <v>30425</v>
      </c>
      <c r="S84">
        <v>30225</v>
      </c>
      <c r="T84">
        <v>29111</v>
      </c>
      <c r="U84">
        <v>28768</v>
      </c>
      <c r="V84">
        <v>27666</v>
      </c>
    </row>
    <row r="85" spans="1:22" ht="12.75" customHeight="1" x14ac:dyDescent="0.25">
      <c r="A85" t="s">
        <v>52</v>
      </c>
      <c r="B85">
        <v>34580</v>
      </c>
      <c r="C85">
        <v>36169</v>
      </c>
      <c r="D85">
        <v>35863</v>
      </c>
      <c r="E85">
        <v>39587</v>
      </c>
      <c r="F85">
        <v>39267</v>
      </c>
      <c r="G85">
        <v>45057</v>
      </c>
      <c r="H85">
        <v>44973</v>
      </c>
      <c r="I85">
        <v>44547</v>
      </c>
      <c r="J85">
        <v>43326</v>
      </c>
      <c r="K85">
        <v>42071</v>
      </c>
      <c r="L85">
        <v>44501</v>
      </c>
      <c r="M85">
        <v>38415</v>
      </c>
      <c r="O85">
        <v>44316</v>
      </c>
      <c r="P85">
        <v>43122</v>
      </c>
      <c r="Q85">
        <v>41951</v>
      </c>
      <c r="R85">
        <v>42008</v>
      </c>
      <c r="S85">
        <v>41452</v>
      </c>
      <c r="T85">
        <v>39945</v>
      </c>
      <c r="U85">
        <v>38623</v>
      </c>
      <c r="V85">
        <v>36773</v>
      </c>
    </row>
    <row r="86" spans="1:22" ht="12.75" customHeight="1" x14ac:dyDescent="0.25">
      <c r="A86" t="s">
        <v>53</v>
      </c>
      <c r="B86">
        <v>99182</v>
      </c>
      <c r="C86">
        <v>92101</v>
      </c>
      <c r="D86">
        <v>88782</v>
      </c>
      <c r="E86">
        <v>95891</v>
      </c>
      <c r="F86">
        <v>93371</v>
      </c>
      <c r="G86">
        <v>100468</v>
      </c>
      <c r="H86">
        <v>101083</v>
      </c>
      <c r="I86">
        <v>97944</v>
      </c>
      <c r="J86">
        <v>94979</v>
      </c>
      <c r="K86">
        <v>92900</v>
      </c>
      <c r="L86">
        <v>94550</v>
      </c>
      <c r="M86">
        <v>74831</v>
      </c>
      <c r="O86">
        <v>93592</v>
      </c>
      <c r="P86">
        <v>90093</v>
      </c>
      <c r="Q86">
        <v>87839</v>
      </c>
      <c r="R86">
        <v>86243</v>
      </c>
      <c r="S86">
        <v>85360</v>
      </c>
      <c r="T86">
        <v>81268</v>
      </c>
      <c r="U86">
        <v>78250</v>
      </c>
      <c r="V86">
        <v>75115</v>
      </c>
    </row>
    <row r="87" spans="1:22" ht="12.75" customHeight="1" x14ac:dyDescent="0.25">
      <c r="A87" t="s">
        <v>54</v>
      </c>
      <c r="B87">
        <v>34645</v>
      </c>
      <c r="C87">
        <v>36374</v>
      </c>
      <c r="D87">
        <v>36698</v>
      </c>
      <c r="E87">
        <v>40348</v>
      </c>
      <c r="F87">
        <v>40671</v>
      </c>
      <c r="G87">
        <v>45341</v>
      </c>
      <c r="H87">
        <v>46167</v>
      </c>
      <c r="I87">
        <v>45348</v>
      </c>
      <c r="J87">
        <v>43879</v>
      </c>
      <c r="K87">
        <v>43070</v>
      </c>
      <c r="L87">
        <v>45351</v>
      </c>
      <c r="M87">
        <v>39110</v>
      </c>
      <c r="O87">
        <v>45133</v>
      </c>
      <c r="P87">
        <v>43632</v>
      </c>
      <c r="Q87">
        <v>42722</v>
      </c>
      <c r="R87">
        <v>42894</v>
      </c>
      <c r="S87">
        <v>42746</v>
      </c>
      <c r="T87">
        <v>40975</v>
      </c>
      <c r="U87">
        <v>40019</v>
      </c>
      <c r="V87">
        <v>38745</v>
      </c>
    </row>
    <row r="88" spans="1:22" ht="12.75" customHeight="1" x14ac:dyDescent="0.25">
      <c r="A88" t="s">
        <v>55</v>
      </c>
      <c r="B88">
        <v>8560</v>
      </c>
      <c r="C88">
        <v>9390</v>
      </c>
      <c r="D88">
        <v>10137</v>
      </c>
      <c r="E88">
        <v>11463</v>
      </c>
      <c r="F88">
        <v>11337</v>
      </c>
      <c r="G88">
        <v>14243</v>
      </c>
      <c r="H88">
        <v>14320</v>
      </c>
      <c r="I88">
        <v>14545</v>
      </c>
      <c r="J88">
        <v>14348</v>
      </c>
      <c r="K88">
        <v>14136</v>
      </c>
      <c r="L88">
        <v>14588</v>
      </c>
      <c r="M88">
        <v>11612</v>
      </c>
      <c r="O88">
        <v>14417</v>
      </c>
      <c r="P88">
        <v>14293</v>
      </c>
      <c r="Q88">
        <v>13921</v>
      </c>
      <c r="R88">
        <v>14091</v>
      </c>
      <c r="S88">
        <v>13960</v>
      </c>
      <c r="T88">
        <v>13493</v>
      </c>
      <c r="U88">
        <v>13468</v>
      </c>
      <c r="V88">
        <v>12999</v>
      </c>
    </row>
    <row r="89" spans="1:22" ht="12.75" customHeight="1" x14ac:dyDescent="0.25">
      <c r="A89" t="s">
        <v>56</v>
      </c>
      <c r="B89" t="s">
        <v>50</v>
      </c>
      <c r="C89">
        <v>10815</v>
      </c>
      <c r="D89">
        <v>11172</v>
      </c>
      <c r="E89">
        <v>13084</v>
      </c>
      <c r="F89">
        <v>13326</v>
      </c>
      <c r="G89">
        <v>15741</v>
      </c>
      <c r="H89">
        <v>16589</v>
      </c>
      <c r="I89">
        <v>16643</v>
      </c>
      <c r="J89">
        <v>16811</v>
      </c>
      <c r="K89">
        <v>16933</v>
      </c>
      <c r="L89">
        <v>17959</v>
      </c>
      <c r="M89">
        <v>16495</v>
      </c>
      <c r="O89">
        <v>19015</v>
      </c>
      <c r="P89">
        <v>18576</v>
      </c>
      <c r="Q89">
        <v>18247</v>
      </c>
      <c r="R89">
        <v>18436</v>
      </c>
      <c r="S89">
        <v>18339</v>
      </c>
      <c r="T89">
        <v>17740</v>
      </c>
      <c r="U89">
        <v>17488</v>
      </c>
      <c r="V89">
        <v>16858</v>
      </c>
    </row>
    <row r="90" spans="1:22" ht="12.75" customHeight="1" x14ac:dyDescent="0.25">
      <c r="A90" t="s">
        <v>57</v>
      </c>
      <c r="B90">
        <v>23445</v>
      </c>
      <c r="C90">
        <v>24568</v>
      </c>
      <c r="D90">
        <v>24933</v>
      </c>
      <c r="E90">
        <v>27227</v>
      </c>
      <c r="F90">
        <v>26682</v>
      </c>
      <c r="G90">
        <v>30181</v>
      </c>
      <c r="H90">
        <v>32317</v>
      </c>
      <c r="I90">
        <v>32814</v>
      </c>
      <c r="J90">
        <v>32033</v>
      </c>
      <c r="K90">
        <v>31315</v>
      </c>
      <c r="L90">
        <v>32121</v>
      </c>
      <c r="M90">
        <v>25199</v>
      </c>
      <c r="O90">
        <v>31457</v>
      </c>
      <c r="P90">
        <v>30681</v>
      </c>
      <c r="Q90">
        <v>29984</v>
      </c>
      <c r="R90">
        <v>30183</v>
      </c>
      <c r="S90">
        <v>30156</v>
      </c>
      <c r="T90">
        <v>29146</v>
      </c>
      <c r="U90">
        <v>28270</v>
      </c>
      <c r="V90">
        <v>27425</v>
      </c>
    </row>
    <row r="91" spans="1:22" ht="12.75" customHeight="1" x14ac:dyDescent="0.25">
      <c r="A91" t="s">
        <v>58</v>
      </c>
      <c r="B91">
        <v>12941</v>
      </c>
      <c r="C91">
        <v>14376</v>
      </c>
      <c r="D91">
        <v>15763</v>
      </c>
      <c r="E91">
        <v>17070</v>
      </c>
      <c r="F91">
        <v>16931</v>
      </c>
      <c r="G91">
        <v>20420</v>
      </c>
      <c r="H91">
        <v>21548</v>
      </c>
      <c r="I91">
        <v>22406</v>
      </c>
      <c r="J91">
        <v>22137</v>
      </c>
      <c r="K91">
        <v>21702</v>
      </c>
      <c r="L91">
        <v>59931</v>
      </c>
      <c r="M91">
        <v>19489</v>
      </c>
      <c r="O91">
        <v>23149</v>
      </c>
      <c r="P91">
        <v>22824</v>
      </c>
      <c r="Q91">
        <v>22321</v>
      </c>
      <c r="R91">
        <v>22801</v>
      </c>
      <c r="S91">
        <v>22780</v>
      </c>
      <c r="T91">
        <v>22254</v>
      </c>
      <c r="U91">
        <v>22293</v>
      </c>
      <c r="V91">
        <v>21658</v>
      </c>
    </row>
    <row r="92" spans="1:22" ht="12.75" customHeight="1" x14ac:dyDescent="0.25">
      <c r="A92" t="s">
        <v>59</v>
      </c>
      <c r="B92" t="s">
        <v>50</v>
      </c>
      <c r="C92">
        <v>16018</v>
      </c>
      <c r="D92">
        <v>16685</v>
      </c>
      <c r="E92">
        <v>17767</v>
      </c>
      <c r="F92">
        <v>17002</v>
      </c>
      <c r="G92">
        <v>18464</v>
      </c>
      <c r="H92">
        <v>20873</v>
      </c>
      <c r="I92">
        <v>22020</v>
      </c>
      <c r="J92">
        <v>22979</v>
      </c>
      <c r="K92">
        <v>22911</v>
      </c>
      <c r="L92">
        <v>22870</v>
      </c>
      <c r="M92">
        <v>21325</v>
      </c>
      <c r="O92">
        <v>24901</v>
      </c>
      <c r="P92">
        <v>24367</v>
      </c>
      <c r="Q92">
        <v>24911</v>
      </c>
      <c r="R92">
        <v>24793</v>
      </c>
      <c r="S92">
        <v>25726</v>
      </c>
      <c r="T92">
        <v>27424</v>
      </c>
      <c r="U92">
        <v>26954</v>
      </c>
      <c r="V92">
        <v>15509</v>
      </c>
    </row>
    <row r="93" spans="1:22" ht="12.75" customHeight="1" x14ac:dyDescent="0.25">
      <c r="A93" t="s">
        <v>60</v>
      </c>
      <c r="V93">
        <v>10748</v>
      </c>
    </row>
    <row r="94" spans="1:22" ht="12.75" customHeight="1" x14ac:dyDescent="0.25">
      <c r="A94" t="s">
        <v>61</v>
      </c>
      <c r="B94">
        <v>53017</v>
      </c>
      <c r="C94">
        <v>40756</v>
      </c>
      <c r="D94">
        <v>41510</v>
      </c>
      <c r="E94">
        <v>44288</v>
      </c>
      <c r="F94">
        <v>43227</v>
      </c>
      <c r="G94">
        <v>48482</v>
      </c>
      <c r="H94">
        <v>53396</v>
      </c>
      <c r="I94">
        <v>57287</v>
      </c>
      <c r="J94">
        <v>60226</v>
      </c>
      <c r="K94">
        <v>59081</v>
      </c>
      <c r="L94">
        <v>23366</v>
      </c>
      <c r="M94">
        <v>53847</v>
      </c>
      <c r="O94">
        <v>62396</v>
      </c>
      <c r="P94">
        <v>60703</v>
      </c>
      <c r="Q94">
        <v>60888</v>
      </c>
      <c r="R94">
        <v>60536</v>
      </c>
      <c r="S94">
        <v>62709</v>
      </c>
      <c r="T94">
        <v>64918</v>
      </c>
      <c r="U94">
        <v>63132</v>
      </c>
      <c r="V94">
        <v>23834</v>
      </c>
    </row>
    <row r="95" spans="1:22" ht="12.75" customHeight="1" x14ac:dyDescent="0.25">
      <c r="A95" t="s">
        <v>62</v>
      </c>
      <c r="V95">
        <v>8947</v>
      </c>
    </row>
    <row r="96" spans="1:22" ht="12.75" customHeight="1" x14ac:dyDescent="0.25">
      <c r="A96" t="s">
        <v>63</v>
      </c>
      <c r="V96">
        <v>14641</v>
      </c>
    </row>
    <row r="97" spans="1:22" ht="12.75" customHeight="1" x14ac:dyDescent="0.25">
      <c r="A97" t="s">
        <v>64</v>
      </c>
      <c r="V97">
        <v>14252</v>
      </c>
    </row>
    <row r="98" spans="1:22" ht="12.75" customHeight="1" x14ac:dyDescent="0.25">
      <c r="A98" t="s">
        <v>65</v>
      </c>
      <c r="B98">
        <v>1016</v>
      </c>
      <c r="C98">
        <v>855</v>
      </c>
      <c r="D98">
        <v>794</v>
      </c>
      <c r="E98">
        <v>722</v>
      </c>
      <c r="F98">
        <v>645</v>
      </c>
      <c r="G98" t="s">
        <v>50</v>
      </c>
      <c r="H98">
        <v>595</v>
      </c>
      <c r="I98" t="s">
        <v>50</v>
      </c>
      <c r="J98" t="s">
        <v>50</v>
      </c>
      <c r="K98" t="s">
        <v>50</v>
      </c>
      <c r="L98" t="s">
        <v>50</v>
      </c>
      <c r="Q98">
        <v>56</v>
      </c>
      <c r="R98">
        <v>52</v>
      </c>
      <c r="S98">
        <v>45</v>
      </c>
      <c r="T98">
        <v>40</v>
      </c>
      <c r="U98">
        <v>34</v>
      </c>
      <c r="V98">
        <v>9</v>
      </c>
    </row>
    <row r="99" spans="1:22" ht="24.95" customHeight="1" x14ac:dyDescent="0.25">
      <c r="A99" t="s">
        <v>66</v>
      </c>
      <c r="B99">
        <v>2128547</v>
      </c>
      <c r="C99">
        <v>2191471</v>
      </c>
      <c r="D99">
        <v>2144320</v>
      </c>
      <c r="E99">
        <v>2292555</v>
      </c>
      <c r="F99">
        <v>2257408</v>
      </c>
      <c r="G99">
        <v>2455269</v>
      </c>
      <c r="H99">
        <v>2460283</v>
      </c>
      <c r="I99">
        <v>2403178</v>
      </c>
      <c r="J99">
        <v>2332549</v>
      </c>
      <c r="K99">
        <v>2260608</v>
      </c>
      <c r="L99">
        <f>SUM(L60:L94)</f>
        <v>2288631</v>
      </c>
      <c r="M99">
        <f>SUM(M60:M98)</f>
        <v>2335661</v>
      </c>
      <c r="O99">
        <f>SUM(O60:O94)</f>
        <v>2217493</v>
      </c>
      <c r="P99">
        <f>SUM(P60:P94)</f>
        <v>2139687</v>
      </c>
      <c r="Q99">
        <f>SUM(Q60:Q98)</f>
        <v>2065752</v>
      </c>
      <c r="R99">
        <v>2031294</v>
      </c>
      <c r="S99">
        <v>1991530</v>
      </c>
      <c r="T99">
        <v>1890289</v>
      </c>
      <c r="U99">
        <f>SUM(U60:U98)</f>
        <v>1813447</v>
      </c>
      <c r="V99">
        <f>SUM(V60:V98)</f>
        <v>1728270</v>
      </c>
    </row>
    <row r="100" spans="1:22" ht="6" customHeight="1" x14ac:dyDescent="0.25"/>
    <row r="101" spans="1:22" x14ac:dyDescent="0.25">
      <c r="A101" t="s">
        <v>67</v>
      </c>
    </row>
    <row r="102" spans="1:22" x14ac:dyDescent="0.25">
      <c r="A102" t="s">
        <v>68</v>
      </c>
    </row>
    <row r="103" spans="1:22" x14ac:dyDescent="0.25">
      <c r="A103" s="15" t="s">
        <v>0</v>
      </c>
      <c r="B103" s="15"/>
      <c r="C103" s="15"/>
      <c r="D103" s="15"/>
      <c r="E103" s="15"/>
      <c r="F103" s="15"/>
      <c r="G103" s="15"/>
      <c r="H103" s="15"/>
      <c r="I103" s="15"/>
      <c r="J103" s="15"/>
      <c r="K103" s="15"/>
      <c r="L103" s="15"/>
      <c r="M103" s="15"/>
      <c r="N103" s="15"/>
      <c r="O103" s="15"/>
      <c r="P103" s="15"/>
      <c r="Q103" s="15"/>
      <c r="R103" s="15"/>
      <c r="S103" s="15"/>
      <c r="T103" s="15"/>
      <c r="U103" s="15"/>
      <c r="V103" s="15"/>
    </row>
    <row r="104" spans="1:22" x14ac:dyDescent="0.25">
      <c r="A104" s="15" t="s">
        <v>1</v>
      </c>
      <c r="B104" s="15"/>
      <c r="C104" s="15"/>
      <c r="D104" s="15"/>
      <c r="E104" s="15"/>
      <c r="F104" s="15"/>
      <c r="G104" s="15"/>
      <c r="H104" s="15"/>
      <c r="I104" s="15"/>
      <c r="J104" s="15"/>
      <c r="K104" s="15"/>
      <c r="L104" s="15"/>
      <c r="M104" s="15"/>
      <c r="N104" s="15"/>
      <c r="O104" s="15"/>
      <c r="P104" s="15"/>
      <c r="Q104" s="15"/>
      <c r="R104" s="15"/>
      <c r="S104" s="15"/>
      <c r="T104" s="15"/>
      <c r="U104" s="15"/>
      <c r="V104" s="15"/>
    </row>
    <row r="105" spans="1:22" x14ac:dyDescent="0.25">
      <c r="A105" t="s">
        <v>70</v>
      </c>
    </row>
    <row r="106" spans="1:22" x14ac:dyDescent="0.25">
      <c r="A106" s="15" t="s">
        <v>3</v>
      </c>
      <c r="B106" s="15">
        <v>2004</v>
      </c>
      <c r="C106" s="15">
        <v>2005</v>
      </c>
      <c r="D106" s="15">
        <v>2006</v>
      </c>
      <c r="E106" s="15">
        <v>2007</v>
      </c>
      <c r="F106" s="15">
        <v>2008</v>
      </c>
      <c r="G106" s="15">
        <v>2009</v>
      </c>
      <c r="H106" s="15">
        <v>2010</v>
      </c>
      <c r="I106" s="15">
        <v>2011</v>
      </c>
      <c r="J106" s="15">
        <v>2012</v>
      </c>
      <c r="K106" s="15">
        <v>2013</v>
      </c>
      <c r="L106" s="15">
        <v>2014</v>
      </c>
      <c r="M106" s="15">
        <v>2015</v>
      </c>
      <c r="N106" s="15"/>
      <c r="O106" s="15">
        <v>2016</v>
      </c>
      <c r="P106" s="15">
        <v>2017</v>
      </c>
      <c r="Q106" s="15">
        <v>2018</v>
      </c>
      <c r="R106" s="15">
        <v>2019</v>
      </c>
      <c r="S106" s="15">
        <v>2020</v>
      </c>
      <c r="T106" s="15">
        <v>2021</v>
      </c>
      <c r="U106" s="15">
        <v>2022</v>
      </c>
      <c r="V106" s="15">
        <v>2023</v>
      </c>
    </row>
    <row r="107" spans="1:22"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row>
    <row r="108" spans="1:22"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row>
    <row r="109" spans="1:22"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row>
    <row r="110" spans="1:22" x14ac:dyDescent="0.25">
      <c r="A110" t="s">
        <v>4</v>
      </c>
      <c r="B110" t="s">
        <v>5</v>
      </c>
      <c r="C110" t="s">
        <v>6</v>
      </c>
      <c r="D110" t="s">
        <v>7</v>
      </c>
      <c r="E110" t="s">
        <v>8</v>
      </c>
      <c r="F110" t="s">
        <v>9</v>
      </c>
      <c r="G110" t="s">
        <v>10</v>
      </c>
      <c r="H110" t="s">
        <v>11</v>
      </c>
      <c r="I110" t="s">
        <v>12</v>
      </c>
      <c r="J110" t="s">
        <v>13</v>
      </c>
      <c r="K110" t="s">
        <v>14</v>
      </c>
      <c r="L110" t="s">
        <v>15</v>
      </c>
      <c r="M110" s="15" t="s">
        <v>16</v>
      </c>
      <c r="N110" s="15"/>
      <c r="O110" t="s">
        <v>17</v>
      </c>
      <c r="P110" t="s">
        <v>18</v>
      </c>
      <c r="Q110" t="s">
        <v>19</v>
      </c>
      <c r="R110" t="s">
        <v>20</v>
      </c>
      <c r="S110" t="s">
        <v>21</v>
      </c>
      <c r="T110" t="s">
        <v>22</v>
      </c>
      <c r="U110" t="s">
        <v>23</v>
      </c>
      <c r="V110" t="s">
        <v>24</v>
      </c>
    </row>
    <row r="111" spans="1:22" x14ac:dyDescent="0.25">
      <c r="A111" t="s">
        <v>25</v>
      </c>
      <c r="B111">
        <v>47650</v>
      </c>
      <c r="C111">
        <v>53052</v>
      </c>
      <c r="D111">
        <v>59211</v>
      </c>
      <c r="E111">
        <v>69924</v>
      </c>
      <c r="F111">
        <v>77064</v>
      </c>
      <c r="G111">
        <v>87644</v>
      </c>
      <c r="H111">
        <v>91707</v>
      </c>
      <c r="I111">
        <v>90498</v>
      </c>
      <c r="J111">
        <v>89645</v>
      </c>
      <c r="K111">
        <v>89486</v>
      </c>
      <c r="L111">
        <v>92013</v>
      </c>
      <c r="M111">
        <v>79582</v>
      </c>
      <c r="O111">
        <v>92289</v>
      </c>
      <c r="P111">
        <v>94742</v>
      </c>
      <c r="Q111">
        <v>93530</v>
      </c>
      <c r="R111">
        <v>95499</v>
      </c>
      <c r="S111">
        <v>95853</v>
      </c>
      <c r="T111">
        <v>93177</v>
      </c>
      <c r="U111">
        <v>92883</v>
      </c>
      <c r="V111">
        <v>90681</v>
      </c>
    </row>
    <row r="112" spans="1:22" x14ac:dyDescent="0.25">
      <c r="A112" t="s">
        <v>26</v>
      </c>
      <c r="B112">
        <v>103529</v>
      </c>
      <c r="C112">
        <v>109054</v>
      </c>
      <c r="D112">
        <v>111058</v>
      </c>
      <c r="E112">
        <v>122400</v>
      </c>
      <c r="F112">
        <v>124710</v>
      </c>
      <c r="G112">
        <v>133674</v>
      </c>
      <c r="H112">
        <v>141603</v>
      </c>
      <c r="I112">
        <v>141820</v>
      </c>
      <c r="J112">
        <v>139641</v>
      </c>
      <c r="K112">
        <v>137555</v>
      </c>
      <c r="L112">
        <v>141545</v>
      </c>
      <c r="M112">
        <v>126275</v>
      </c>
      <c r="O112">
        <v>139296</v>
      </c>
      <c r="P112">
        <v>139945</v>
      </c>
      <c r="Q112">
        <v>136813</v>
      </c>
      <c r="R112">
        <v>139418</v>
      </c>
      <c r="S112">
        <v>137469</v>
      </c>
      <c r="T112">
        <v>131653</v>
      </c>
      <c r="U112">
        <v>127525</v>
      </c>
      <c r="V112">
        <v>122855</v>
      </c>
    </row>
    <row r="113" spans="1:22" x14ac:dyDescent="0.25">
      <c r="A113" t="s">
        <v>27</v>
      </c>
      <c r="B113">
        <v>59709</v>
      </c>
      <c r="C113">
        <v>64003</v>
      </c>
      <c r="D113">
        <v>66088</v>
      </c>
      <c r="E113">
        <v>72706</v>
      </c>
      <c r="F113">
        <v>74093</v>
      </c>
      <c r="G113">
        <v>81197</v>
      </c>
      <c r="H113">
        <v>84103</v>
      </c>
      <c r="I113">
        <v>85072</v>
      </c>
      <c r="J113">
        <v>83516</v>
      </c>
      <c r="K113">
        <v>81825</v>
      </c>
      <c r="L113">
        <v>84253</v>
      </c>
      <c r="M113">
        <v>71948</v>
      </c>
      <c r="O113">
        <v>82350</v>
      </c>
      <c r="P113">
        <v>81590</v>
      </c>
      <c r="Q113">
        <v>79943</v>
      </c>
      <c r="R113">
        <v>81735</v>
      </c>
      <c r="S113">
        <v>81856</v>
      </c>
      <c r="T113">
        <v>79001</v>
      </c>
      <c r="U113">
        <v>77473</v>
      </c>
      <c r="V113">
        <v>74634</v>
      </c>
    </row>
    <row r="114" spans="1:22" x14ac:dyDescent="0.25">
      <c r="A114" t="s">
        <v>28</v>
      </c>
      <c r="B114">
        <v>31183</v>
      </c>
      <c r="C114">
        <v>33622</v>
      </c>
      <c r="D114">
        <v>34711</v>
      </c>
      <c r="E114">
        <v>41512</v>
      </c>
      <c r="F114">
        <v>46681</v>
      </c>
      <c r="G114">
        <v>52087</v>
      </c>
      <c r="H114">
        <v>54428</v>
      </c>
      <c r="I114">
        <v>55500</v>
      </c>
      <c r="J114">
        <v>54941</v>
      </c>
      <c r="K114">
        <v>55067</v>
      </c>
      <c r="L114">
        <v>55455</v>
      </c>
      <c r="M114">
        <v>52190</v>
      </c>
      <c r="O114">
        <v>57347</v>
      </c>
      <c r="P114">
        <v>57351</v>
      </c>
      <c r="Q114">
        <v>56952</v>
      </c>
      <c r="R114">
        <v>58244</v>
      </c>
      <c r="S114">
        <v>58778</v>
      </c>
      <c r="T114">
        <v>57086</v>
      </c>
      <c r="U114">
        <v>56166</v>
      </c>
      <c r="V114">
        <v>54528</v>
      </c>
    </row>
    <row r="115" spans="1:22" x14ac:dyDescent="0.25">
      <c r="A115" t="s">
        <v>29</v>
      </c>
      <c r="B115">
        <v>23348</v>
      </c>
      <c r="C115">
        <v>25559</v>
      </c>
      <c r="D115">
        <v>26313</v>
      </c>
      <c r="E115">
        <v>30220</v>
      </c>
      <c r="F115">
        <v>31815</v>
      </c>
      <c r="G115">
        <v>37490</v>
      </c>
      <c r="H115">
        <v>38769</v>
      </c>
      <c r="I115">
        <v>40309</v>
      </c>
      <c r="J115">
        <v>39806</v>
      </c>
      <c r="K115">
        <v>39407</v>
      </c>
      <c r="L115">
        <v>40436</v>
      </c>
      <c r="M115">
        <v>35453</v>
      </c>
      <c r="O115">
        <v>39848</v>
      </c>
      <c r="P115">
        <v>40292</v>
      </c>
      <c r="Q115">
        <v>39600</v>
      </c>
      <c r="R115">
        <v>40382</v>
      </c>
      <c r="S115">
        <v>40655</v>
      </c>
      <c r="T115">
        <v>39252</v>
      </c>
      <c r="U115">
        <v>38082</v>
      </c>
      <c r="V115">
        <v>37027</v>
      </c>
    </row>
    <row r="116" spans="1:22" x14ac:dyDescent="0.25">
      <c r="A116" t="s">
        <v>30</v>
      </c>
      <c r="B116">
        <v>46852</v>
      </c>
      <c r="C116">
        <v>49676</v>
      </c>
      <c r="D116">
        <v>50904</v>
      </c>
      <c r="E116">
        <v>58794</v>
      </c>
      <c r="F116">
        <v>62985</v>
      </c>
      <c r="G116">
        <v>70440</v>
      </c>
      <c r="H116">
        <v>73889</v>
      </c>
      <c r="I116">
        <v>75144</v>
      </c>
      <c r="J116">
        <v>74255</v>
      </c>
      <c r="K116">
        <v>73366</v>
      </c>
      <c r="L116">
        <v>77984</v>
      </c>
      <c r="M116">
        <v>68907</v>
      </c>
      <c r="O116">
        <v>76876</v>
      </c>
      <c r="P116">
        <v>76097</v>
      </c>
      <c r="Q116">
        <v>74325</v>
      </c>
      <c r="R116">
        <v>75349</v>
      </c>
      <c r="S116">
        <v>76084</v>
      </c>
      <c r="T116">
        <v>73571</v>
      </c>
      <c r="U116">
        <v>72392</v>
      </c>
      <c r="V116">
        <v>69879</v>
      </c>
    </row>
    <row r="117" spans="1:22" x14ac:dyDescent="0.25">
      <c r="A117" t="s">
        <v>31</v>
      </c>
      <c r="B117">
        <v>16078</v>
      </c>
      <c r="C117">
        <v>17935</v>
      </c>
      <c r="D117">
        <v>19738</v>
      </c>
      <c r="E117">
        <v>21591</v>
      </c>
      <c r="F117">
        <v>23335</v>
      </c>
      <c r="G117">
        <v>29271</v>
      </c>
      <c r="H117">
        <v>30444</v>
      </c>
      <c r="I117">
        <v>31409</v>
      </c>
      <c r="J117">
        <v>30952</v>
      </c>
      <c r="K117">
        <v>30476</v>
      </c>
      <c r="L117">
        <v>30980</v>
      </c>
      <c r="M117">
        <v>27387</v>
      </c>
      <c r="O117">
        <v>30554</v>
      </c>
      <c r="P117">
        <v>30803</v>
      </c>
      <c r="Q117">
        <v>30340</v>
      </c>
      <c r="R117">
        <v>31296</v>
      </c>
      <c r="S117">
        <v>30943</v>
      </c>
      <c r="T117">
        <v>30230</v>
      </c>
      <c r="U117">
        <v>29797</v>
      </c>
      <c r="V117">
        <v>29144</v>
      </c>
    </row>
    <row r="118" spans="1:22" x14ac:dyDescent="0.25">
      <c r="A118" t="s">
        <v>32</v>
      </c>
      <c r="B118">
        <v>42629</v>
      </c>
      <c r="C118">
        <v>44967</v>
      </c>
      <c r="D118">
        <v>45527</v>
      </c>
      <c r="E118">
        <v>50207</v>
      </c>
      <c r="F118">
        <v>54382</v>
      </c>
      <c r="G118">
        <v>60807</v>
      </c>
      <c r="H118">
        <v>61866</v>
      </c>
      <c r="I118">
        <v>63532</v>
      </c>
      <c r="J118">
        <v>62266</v>
      </c>
      <c r="K118">
        <v>60292</v>
      </c>
      <c r="L118">
        <v>64276</v>
      </c>
      <c r="M118">
        <v>57770</v>
      </c>
      <c r="O118">
        <v>62953</v>
      </c>
      <c r="P118">
        <v>63508</v>
      </c>
      <c r="Q118">
        <v>61977</v>
      </c>
      <c r="R118">
        <v>63952</v>
      </c>
      <c r="S118">
        <v>64622</v>
      </c>
      <c r="T118">
        <v>62166</v>
      </c>
      <c r="U118">
        <v>61247</v>
      </c>
      <c r="V118">
        <v>59021</v>
      </c>
    </row>
    <row r="119" spans="1:22" x14ac:dyDescent="0.25">
      <c r="A119" t="s">
        <v>33</v>
      </c>
      <c r="B119">
        <v>6560</v>
      </c>
      <c r="C119">
        <v>8004</v>
      </c>
      <c r="D119">
        <v>9083</v>
      </c>
      <c r="E119">
        <v>10269</v>
      </c>
      <c r="F119">
        <v>10731</v>
      </c>
      <c r="G119">
        <v>13564</v>
      </c>
      <c r="H119">
        <v>15125</v>
      </c>
      <c r="I119">
        <v>16124</v>
      </c>
      <c r="J119">
        <v>16028</v>
      </c>
      <c r="K119">
        <v>15834</v>
      </c>
      <c r="L119">
        <v>16691</v>
      </c>
      <c r="M119">
        <v>15272</v>
      </c>
      <c r="O119">
        <v>16585</v>
      </c>
      <c r="P119">
        <v>16500</v>
      </c>
      <c r="Q119">
        <v>16238</v>
      </c>
      <c r="R119">
        <v>17284</v>
      </c>
      <c r="S119">
        <v>17840</v>
      </c>
      <c r="T119">
        <v>17439</v>
      </c>
      <c r="U119">
        <v>17697</v>
      </c>
      <c r="V119">
        <v>17246</v>
      </c>
    </row>
    <row r="120" spans="1:22" x14ac:dyDescent="0.25">
      <c r="A120" t="s">
        <v>34</v>
      </c>
      <c r="B120">
        <v>6651</v>
      </c>
      <c r="C120">
        <v>8092</v>
      </c>
      <c r="D120">
        <v>8840</v>
      </c>
      <c r="E120">
        <v>11027</v>
      </c>
      <c r="F120">
        <v>11568</v>
      </c>
      <c r="G120">
        <v>14440</v>
      </c>
      <c r="H120">
        <v>15394</v>
      </c>
      <c r="I120">
        <v>16082</v>
      </c>
      <c r="J120">
        <v>16113</v>
      </c>
      <c r="K120">
        <v>16115</v>
      </c>
      <c r="L120">
        <v>16556</v>
      </c>
      <c r="M120">
        <v>15167</v>
      </c>
      <c r="O120">
        <v>17410</v>
      </c>
      <c r="P120">
        <v>17627</v>
      </c>
      <c r="Q120">
        <v>17389</v>
      </c>
      <c r="R120">
        <v>18583</v>
      </c>
      <c r="S120">
        <v>18932</v>
      </c>
      <c r="T120">
        <v>18692</v>
      </c>
      <c r="U120">
        <v>19420</v>
      </c>
      <c r="V120">
        <v>19080</v>
      </c>
    </row>
    <row r="121" spans="1:22" x14ac:dyDescent="0.25">
      <c r="A121" t="s">
        <v>35</v>
      </c>
      <c r="B121">
        <v>100348</v>
      </c>
      <c r="C121">
        <v>104216</v>
      </c>
      <c r="D121">
        <v>105279</v>
      </c>
      <c r="E121">
        <v>107171</v>
      </c>
      <c r="F121">
        <v>106570</v>
      </c>
      <c r="G121">
        <v>118513</v>
      </c>
      <c r="H121">
        <v>119732</v>
      </c>
      <c r="I121">
        <v>126230</v>
      </c>
      <c r="J121">
        <v>121184</v>
      </c>
      <c r="K121">
        <v>120561</v>
      </c>
      <c r="L121">
        <v>116819</v>
      </c>
      <c r="M121">
        <v>420820</v>
      </c>
      <c r="N121" t="s">
        <v>36</v>
      </c>
      <c r="O121">
        <v>118632</v>
      </c>
      <c r="P121">
        <v>117416</v>
      </c>
      <c r="Q121">
        <v>121425</v>
      </c>
      <c r="R121">
        <v>125018</v>
      </c>
      <c r="S121">
        <v>127847</v>
      </c>
      <c r="T121">
        <v>124815</v>
      </c>
      <c r="U121">
        <v>123718</v>
      </c>
      <c r="V121">
        <v>115621</v>
      </c>
    </row>
    <row r="122" spans="1:22" x14ac:dyDescent="0.25">
      <c r="A122" t="s">
        <v>37</v>
      </c>
      <c r="B122">
        <v>159055</v>
      </c>
      <c r="C122">
        <v>165591</v>
      </c>
      <c r="D122">
        <v>165304</v>
      </c>
      <c r="E122">
        <v>184235</v>
      </c>
      <c r="F122">
        <v>196419</v>
      </c>
      <c r="G122">
        <v>210501</v>
      </c>
      <c r="H122">
        <v>209830</v>
      </c>
      <c r="I122">
        <v>205884</v>
      </c>
      <c r="J122">
        <v>203637</v>
      </c>
      <c r="K122">
        <v>197747</v>
      </c>
      <c r="L122">
        <v>205103</v>
      </c>
      <c r="M122">
        <v>170643</v>
      </c>
      <c r="O122">
        <v>199869</v>
      </c>
      <c r="P122">
        <v>197153</v>
      </c>
      <c r="Q122">
        <v>191945</v>
      </c>
      <c r="R122">
        <v>191862</v>
      </c>
      <c r="S122">
        <v>190865</v>
      </c>
      <c r="T122">
        <v>181151</v>
      </c>
      <c r="U122">
        <v>174824</v>
      </c>
      <c r="V122">
        <v>166925</v>
      </c>
    </row>
    <row r="123" spans="1:22" x14ac:dyDescent="0.25">
      <c r="A123" t="s">
        <v>38</v>
      </c>
      <c r="B123">
        <v>172749</v>
      </c>
      <c r="C123">
        <v>179845</v>
      </c>
      <c r="D123">
        <v>178730</v>
      </c>
      <c r="E123">
        <v>196317</v>
      </c>
      <c r="F123">
        <v>201653</v>
      </c>
      <c r="G123">
        <v>216221</v>
      </c>
      <c r="H123">
        <v>220326</v>
      </c>
      <c r="I123">
        <v>217799</v>
      </c>
      <c r="J123">
        <v>212514</v>
      </c>
      <c r="K123">
        <v>206163</v>
      </c>
      <c r="L123">
        <v>211873</v>
      </c>
      <c r="M123">
        <v>181551</v>
      </c>
      <c r="O123">
        <v>206294</v>
      </c>
      <c r="P123">
        <v>203803</v>
      </c>
      <c r="Q123">
        <v>198166</v>
      </c>
      <c r="R123">
        <v>201865</v>
      </c>
      <c r="S123">
        <v>203885</v>
      </c>
      <c r="T123">
        <v>193845</v>
      </c>
      <c r="U123">
        <v>190830</v>
      </c>
      <c r="V123">
        <v>182807</v>
      </c>
    </row>
    <row r="124" spans="1:22" x14ac:dyDescent="0.25">
      <c r="A124" t="s">
        <v>39</v>
      </c>
      <c r="B124">
        <v>35348</v>
      </c>
      <c r="C124">
        <v>36555</v>
      </c>
      <c r="D124">
        <v>36533</v>
      </c>
      <c r="E124">
        <v>38310</v>
      </c>
      <c r="F124">
        <v>38696</v>
      </c>
      <c r="G124">
        <v>40915</v>
      </c>
      <c r="H124">
        <v>40795</v>
      </c>
      <c r="I124">
        <v>40203</v>
      </c>
      <c r="J124">
        <v>39346</v>
      </c>
      <c r="K124">
        <v>38112</v>
      </c>
      <c r="L124">
        <v>38997</v>
      </c>
      <c r="M124">
        <v>28965</v>
      </c>
      <c r="O124">
        <v>38860</v>
      </c>
      <c r="P124">
        <v>37681</v>
      </c>
      <c r="Q124">
        <v>36727</v>
      </c>
      <c r="R124">
        <v>37754</v>
      </c>
      <c r="S124">
        <v>38293</v>
      </c>
      <c r="T124">
        <v>36760</v>
      </c>
      <c r="U124">
        <v>36196</v>
      </c>
      <c r="V124">
        <v>35222</v>
      </c>
    </row>
    <row r="125" spans="1:22" x14ac:dyDescent="0.25">
      <c r="A125" t="s">
        <v>40</v>
      </c>
      <c r="B125">
        <v>178327</v>
      </c>
      <c r="C125">
        <v>187370</v>
      </c>
      <c r="D125">
        <v>182978</v>
      </c>
      <c r="E125">
        <v>204752</v>
      </c>
      <c r="F125">
        <v>205486</v>
      </c>
      <c r="G125">
        <v>231325</v>
      </c>
      <c r="H125">
        <v>233403</v>
      </c>
      <c r="I125">
        <v>231555</v>
      </c>
      <c r="J125">
        <v>227355</v>
      </c>
      <c r="K125">
        <v>222427</v>
      </c>
      <c r="L125">
        <v>226731</v>
      </c>
      <c r="M125">
        <v>196399</v>
      </c>
      <c r="O125">
        <v>219886</v>
      </c>
      <c r="P125">
        <v>213868</v>
      </c>
      <c r="Q125">
        <v>209646</v>
      </c>
      <c r="R125">
        <v>213858</v>
      </c>
      <c r="S125">
        <v>215286</v>
      </c>
      <c r="T125">
        <v>203661</v>
      </c>
      <c r="U125">
        <v>197928</v>
      </c>
      <c r="V125">
        <v>189121</v>
      </c>
    </row>
    <row r="126" spans="1:22" x14ac:dyDescent="0.25">
      <c r="A126" t="s">
        <v>41</v>
      </c>
      <c r="B126">
        <v>26686</v>
      </c>
      <c r="C126">
        <v>28585</v>
      </c>
      <c r="D126">
        <v>29179</v>
      </c>
      <c r="E126">
        <v>34695</v>
      </c>
      <c r="F126">
        <v>39990</v>
      </c>
      <c r="G126">
        <v>44539</v>
      </c>
      <c r="H126">
        <v>44597</v>
      </c>
      <c r="I126">
        <v>44965</v>
      </c>
      <c r="J126">
        <v>44472</v>
      </c>
      <c r="K126">
        <v>44213</v>
      </c>
      <c r="L126">
        <v>46564</v>
      </c>
      <c r="M126">
        <v>39833</v>
      </c>
      <c r="O126">
        <v>46100</v>
      </c>
      <c r="P126">
        <v>46302</v>
      </c>
      <c r="Q126">
        <v>45650</v>
      </c>
      <c r="R126">
        <v>46591</v>
      </c>
      <c r="S126">
        <v>47148</v>
      </c>
      <c r="T126">
        <v>45502</v>
      </c>
      <c r="U126">
        <v>45355</v>
      </c>
      <c r="V126">
        <v>44337</v>
      </c>
    </row>
    <row r="127" spans="1:22" x14ac:dyDescent="0.25">
      <c r="A127" t="s">
        <v>42</v>
      </c>
      <c r="B127">
        <v>29261</v>
      </c>
      <c r="C127">
        <v>30698</v>
      </c>
      <c r="D127">
        <v>31949</v>
      </c>
      <c r="E127">
        <v>34194</v>
      </c>
      <c r="F127">
        <v>33500</v>
      </c>
      <c r="G127">
        <v>39589</v>
      </c>
      <c r="H127">
        <v>41435</v>
      </c>
      <c r="I127">
        <v>41724</v>
      </c>
      <c r="J127">
        <v>40998</v>
      </c>
      <c r="K127">
        <v>40549</v>
      </c>
      <c r="L127">
        <v>40525</v>
      </c>
      <c r="M127">
        <v>33258</v>
      </c>
      <c r="O127">
        <v>40712</v>
      </c>
      <c r="P127">
        <v>39926</v>
      </c>
      <c r="Q127">
        <v>39264</v>
      </c>
      <c r="R127">
        <v>39663</v>
      </c>
      <c r="S127">
        <v>39794</v>
      </c>
      <c r="T127">
        <v>38070</v>
      </c>
      <c r="U127">
        <v>37153</v>
      </c>
      <c r="V127">
        <v>35531</v>
      </c>
    </row>
    <row r="128" spans="1:22" x14ac:dyDescent="0.25">
      <c r="A128" t="s">
        <v>43</v>
      </c>
      <c r="B128">
        <v>21629</v>
      </c>
      <c r="C128">
        <v>23475</v>
      </c>
      <c r="D128">
        <v>24417</v>
      </c>
      <c r="E128">
        <v>28448</v>
      </c>
      <c r="F128">
        <v>28120</v>
      </c>
      <c r="G128">
        <v>34632</v>
      </c>
      <c r="H128">
        <v>35862</v>
      </c>
      <c r="I128">
        <v>36552</v>
      </c>
      <c r="J128">
        <v>36073</v>
      </c>
      <c r="K128">
        <v>35920</v>
      </c>
      <c r="L128">
        <v>36435</v>
      </c>
      <c r="M128">
        <v>34027</v>
      </c>
      <c r="O128">
        <v>38158</v>
      </c>
      <c r="P128">
        <v>38082</v>
      </c>
      <c r="Q128">
        <v>37626</v>
      </c>
      <c r="R128">
        <v>38241</v>
      </c>
      <c r="S128">
        <v>39590</v>
      </c>
      <c r="T128">
        <v>38419</v>
      </c>
      <c r="U128">
        <v>38762</v>
      </c>
      <c r="V128">
        <v>37709</v>
      </c>
    </row>
    <row r="129" spans="1:22" x14ac:dyDescent="0.25">
      <c r="A129" t="s">
        <v>44</v>
      </c>
      <c r="B129">
        <v>29228</v>
      </c>
      <c r="C129">
        <v>32126</v>
      </c>
      <c r="D129">
        <v>33396</v>
      </c>
      <c r="E129">
        <v>39505</v>
      </c>
      <c r="F129">
        <v>38840</v>
      </c>
      <c r="G129">
        <v>47490</v>
      </c>
      <c r="H129">
        <v>53239</v>
      </c>
      <c r="I129">
        <v>55530</v>
      </c>
      <c r="J129">
        <v>54803</v>
      </c>
      <c r="K129">
        <v>55002</v>
      </c>
      <c r="L129">
        <v>56046</v>
      </c>
      <c r="M129">
        <v>54539</v>
      </c>
      <c r="O129">
        <v>58238</v>
      </c>
      <c r="P129">
        <v>58917</v>
      </c>
      <c r="Q129">
        <v>57847</v>
      </c>
      <c r="R129">
        <v>60166</v>
      </c>
      <c r="S129">
        <v>61337</v>
      </c>
      <c r="T129">
        <v>59825</v>
      </c>
      <c r="U129">
        <v>60621</v>
      </c>
      <c r="V129">
        <v>59026</v>
      </c>
    </row>
    <row r="130" spans="1:22" x14ac:dyDescent="0.25">
      <c r="A130" t="s">
        <v>45</v>
      </c>
      <c r="B130">
        <v>26475</v>
      </c>
      <c r="C130">
        <v>28540</v>
      </c>
      <c r="D130">
        <v>30107</v>
      </c>
      <c r="E130">
        <v>32523</v>
      </c>
      <c r="F130">
        <v>34232</v>
      </c>
      <c r="G130">
        <v>39124</v>
      </c>
      <c r="H130">
        <v>40570</v>
      </c>
      <c r="I130">
        <v>41551</v>
      </c>
      <c r="J130">
        <v>40973</v>
      </c>
      <c r="K130">
        <v>40766</v>
      </c>
      <c r="L130">
        <v>42814</v>
      </c>
      <c r="M130">
        <v>38605</v>
      </c>
      <c r="O130">
        <v>42593</v>
      </c>
      <c r="P130">
        <v>42949</v>
      </c>
      <c r="Q130">
        <v>42078</v>
      </c>
      <c r="R130">
        <v>42783</v>
      </c>
      <c r="S130">
        <v>43756</v>
      </c>
      <c r="T130">
        <v>42432</v>
      </c>
      <c r="U130">
        <v>42525</v>
      </c>
      <c r="V130">
        <v>40973</v>
      </c>
    </row>
    <row r="131" spans="1:22" x14ac:dyDescent="0.25">
      <c r="A131" t="s">
        <v>46</v>
      </c>
      <c r="B131">
        <v>20909</v>
      </c>
      <c r="C131">
        <v>23263</v>
      </c>
      <c r="D131">
        <v>24560</v>
      </c>
      <c r="E131">
        <v>28914</v>
      </c>
      <c r="F131">
        <v>28399</v>
      </c>
      <c r="G131">
        <v>35028</v>
      </c>
      <c r="H131">
        <v>36203</v>
      </c>
      <c r="I131">
        <v>37798</v>
      </c>
      <c r="J131">
        <v>37402</v>
      </c>
      <c r="K131">
        <v>37039</v>
      </c>
      <c r="L131">
        <v>38271</v>
      </c>
      <c r="M131">
        <v>34740</v>
      </c>
      <c r="O131">
        <v>37751</v>
      </c>
      <c r="P131">
        <v>37394</v>
      </c>
      <c r="Q131">
        <v>36632</v>
      </c>
      <c r="R131">
        <v>38127</v>
      </c>
      <c r="S131">
        <v>38640</v>
      </c>
      <c r="T131">
        <v>37838</v>
      </c>
      <c r="U131">
        <v>38130</v>
      </c>
      <c r="V131">
        <v>37118</v>
      </c>
    </row>
    <row r="132" spans="1:22" x14ac:dyDescent="0.25">
      <c r="A132" t="s">
        <v>47</v>
      </c>
      <c r="B132">
        <v>28622</v>
      </c>
      <c r="C132">
        <v>30766</v>
      </c>
      <c r="D132">
        <v>31927</v>
      </c>
      <c r="E132">
        <v>37747</v>
      </c>
      <c r="F132">
        <v>36988</v>
      </c>
      <c r="G132">
        <v>44626</v>
      </c>
      <c r="H132">
        <v>46386</v>
      </c>
      <c r="I132">
        <v>47271</v>
      </c>
      <c r="J132">
        <v>46553</v>
      </c>
      <c r="K132">
        <v>45866</v>
      </c>
      <c r="L132">
        <v>47660</v>
      </c>
      <c r="M132">
        <v>40572</v>
      </c>
      <c r="O132">
        <v>47075</v>
      </c>
      <c r="P132">
        <v>46609</v>
      </c>
      <c r="Q132">
        <v>45490</v>
      </c>
      <c r="R132">
        <v>46271</v>
      </c>
      <c r="S132">
        <v>46284</v>
      </c>
      <c r="T132">
        <v>45185</v>
      </c>
      <c r="U132">
        <v>45197</v>
      </c>
      <c r="V132">
        <v>43934</v>
      </c>
    </row>
    <row r="133" spans="1:22" x14ac:dyDescent="0.25">
      <c r="A133" t="s">
        <v>48</v>
      </c>
      <c r="B133">
        <v>24462</v>
      </c>
      <c r="C133">
        <v>26399</v>
      </c>
      <c r="D133">
        <v>27616</v>
      </c>
      <c r="E133">
        <v>32012</v>
      </c>
      <c r="F133">
        <v>31392</v>
      </c>
      <c r="G133">
        <v>42732</v>
      </c>
      <c r="H133">
        <v>44086</v>
      </c>
      <c r="I133">
        <v>45650</v>
      </c>
      <c r="J133">
        <v>45245</v>
      </c>
      <c r="K133">
        <v>44834</v>
      </c>
      <c r="L133">
        <v>40412</v>
      </c>
      <c r="M133">
        <v>34274</v>
      </c>
      <c r="O133">
        <v>38145</v>
      </c>
      <c r="P133">
        <v>37776</v>
      </c>
      <c r="Q133">
        <v>37254</v>
      </c>
      <c r="R133">
        <v>38007</v>
      </c>
      <c r="S133">
        <v>38037</v>
      </c>
      <c r="T133">
        <v>37203</v>
      </c>
      <c r="U133">
        <v>37362</v>
      </c>
      <c r="V133">
        <v>36174</v>
      </c>
    </row>
    <row r="134" spans="1:22" x14ac:dyDescent="0.25">
      <c r="A134" t="s">
        <v>49</v>
      </c>
      <c r="B134" t="s">
        <v>50</v>
      </c>
      <c r="C134" t="s">
        <v>50</v>
      </c>
      <c r="D134" t="s">
        <v>50</v>
      </c>
      <c r="E134" t="s">
        <v>50</v>
      </c>
      <c r="F134" t="s">
        <v>50</v>
      </c>
      <c r="G134" t="s">
        <v>50</v>
      </c>
      <c r="H134" t="s">
        <v>50</v>
      </c>
      <c r="I134" t="s">
        <v>50</v>
      </c>
      <c r="J134" t="s">
        <v>50</v>
      </c>
      <c r="K134" t="s">
        <v>50</v>
      </c>
      <c r="L134">
        <v>6417</v>
      </c>
      <c r="M134">
        <v>8563</v>
      </c>
      <c r="O134">
        <v>9265</v>
      </c>
      <c r="P134">
        <v>9295</v>
      </c>
      <c r="Q134">
        <v>9403</v>
      </c>
      <c r="R134">
        <v>10162</v>
      </c>
      <c r="S134">
        <v>10239</v>
      </c>
      <c r="T134">
        <v>10196</v>
      </c>
      <c r="U134">
        <v>10549</v>
      </c>
      <c r="V134">
        <v>10365</v>
      </c>
    </row>
    <row r="135" spans="1:22" x14ac:dyDescent="0.25">
      <c r="A135" t="s">
        <v>51</v>
      </c>
      <c r="B135">
        <v>35035</v>
      </c>
      <c r="C135">
        <v>36641</v>
      </c>
      <c r="D135">
        <v>37547</v>
      </c>
      <c r="E135">
        <v>40128</v>
      </c>
      <c r="F135">
        <v>38484</v>
      </c>
      <c r="G135">
        <v>46420</v>
      </c>
      <c r="H135">
        <v>45655</v>
      </c>
      <c r="I135">
        <v>46773</v>
      </c>
      <c r="J135">
        <v>45821</v>
      </c>
      <c r="K135">
        <v>44799</v>
      </c>
      <c r="L135">
        <v>46393</v>
      </c>
      <c r="M135">
        <v>39708</v>
      </c>
      <c r="O135">
        <v>44626</v>
      </c>
      <c r="P135">
        <v>43662</v>
      </c>
      <c r="Q135">
        <v>42459</v>
      </c>
      <c r="R135">
        <v>43729</v>
      </c>
      <c r="S135">
        <v>43879</v>
      </c>
      <c r="T135">
        <v>42429</v>
      </c>
      <c r="U135">
        <v>42158</v>
      </c>
      <c r="V135">
        <v>40647</v>
      </c>
    </row>
    <row r="136" spans="1:22" x14ac:dyDescent="0.25">
      <c r="A136" t="s">
        <v>52</v>
      </c>
      <c r="B136">
        <v>23452</v>
      </c>
      <c r="C136">
        <v>25591</v>
      </c>
      <c r="D136">
        <v>26299</v>
      </c>
      <c r="E136">
        <v>32021</v>
      </c>
      <c r="F136">
        <v>33213</v>
      </c>
      <c r="G136">
        <v>41064</v>
      </c>
      <c r="H136">
        <v>41848</v>
      </c>
      <c r="I136">
        <v>43131</v>
      </c>
      <c r="J136">
        <v>42437</v>
      </c>
      <c r="K136">
        <v>41673</v>
      </c>
      <c r="L136">
        <v>45029</v>
      </c>
      <c r="M136">
        <v>42182</v>
      </c>
      <c r="O136">
        <v>45918</v>
      </c>
      <c r="P136">
        <v>46259</v>
      </c>
      <c r="Q136">
        <v>45955</v>
      </c>
      <c r="R136">
        <v>47233</v>
      </c>
      <c r="S136">
        <v>47102</v>
      </c>
      <c r="T136">
        <v>46086</v>
      </c>
      <c r="U136">
        <v>45730</v>
      </c>
      <c r="V136">
        <v>44419</v>
      </c>
    </row>
    <row r="137" spans="1:22" x14ac:dyDescent="0.25">
      <c r="A137" t="s">
        <v>53</v>
      </c>
      <c r="B137">
        <v>79251</v>
      </c>
      <c r="C137">
        <v>77164</v>
      </c>
      <c r="D137">
        <v>77845</v>
      </c>
      <c r="E137">
        <v>90060</v>
      </c>
      <c r="F137">
        <v>91082</v>
      </c>
      <c r="G137">
        <v>101762</v>
      </c>
      <c r="H137">
        <v>106695</v>
      </c>
      <c r="I137">
        <v>108161</v>
      </c>
      <c r="J137">
        <v>106485</v>
      </c>
      <c r="K137">
        <v>105521</v>
      </c>
      <c r="L137">
        <v>109730</v>
      </c>
      <c r="M137">
        <v>96672</v>
      </c>
      <c r="O137">
        <v>111136</v>
      </c>
      <c r="P137">
        <v>110323</v>
      </c>
      <c r="Q137">
        <v>109223</v>
      </c>
      <c r="R137">
        <v>110866</v>
      </c>
      <c r="S137">
        <v>111884</v>
      </c>
      <c r="T137">
        <v>108403</v>
      </c>
      <c r="U137">
        <v>106771</v>
      </c>
      <c r="V137">
        <v>103626</v>
      </c>
    </row>
    <row r="138" spans="1:22" x14ac:dyDescent="0.25">
      <c r="A138" t="s">
        <v>54</v>
      </c>
      <c r="B138">
        <v>18466</v>
      </c>
      <c r="C138">
        <v>20498</v>
      </c>
      <c r="D138">
        <v>22108</v>
      </c>
      <c r="E138">
        <v>26198</v>
      </c>
      <c r="F138">
        <v>27182</v>
      </c>
      <c r="G138">
        <v>33052</v>
      </c>
      <c r="H138">
        <v>35531</v>
      </c>
      <c r="I138">
        <v>37191</v>
      </c>
      <c r="J138">
        <v>36616</v>
      </c>
      <c r="K138">
        <v>36335</v>
      </c>
      <c r="L138">
        <v>39388</v>
      </c>
      <c r="M138">
        <v>36772</v>
      </c>
      <c r="O138">
        <v>40027</v>
      </c>
      <c r="P138">
        <v>40084</v>
      </c>
      <c r="Q138">
        <v>40313</v>
      </c>
      <c r="R138">
        <v>42107</v>
      </c>
      <c r="S138">
        <v>42904</v>
      </c>
      <c r="T138">
        <v>42106</v>
      </c>
      <c r="U138">
        <v>42330</v>
      </c>
      <c r="V138">
        <v>41592</v>
      </c>
    </row>
    <row r="139" spans="1:22" x14ac:dyDescent="0.25">
      <c r="A139" t="s">
        <v>55</v>
      </c>
      <c r="B139">
        <v>10597</v>
      </c>
      <c r="C139">
        <v>11820</v>
      </c>
      <c r="D139">
        <v>12237</v>
      </c>
      <c r="E139">
        <v>15196</v>
      </c>
      <c r="F139">
        <v>14992</v>
      </c>
      <c r="G139">
        <v>19822</v>
      </c>
      <c r="H139">
        <v>19995</v>
      </c>
      <c r="I139">
        <v>20602</v>
      </c>
      <c r="J139">
        <v>20327</v>
      </c>
      <c r="K139">
        <v>19981</v>
      </c>
      <c r="L139">
        <v>20991</v>
      </c>
      <c r="M139">
        <v>18718</v>
      </c>
      <c r="O139">
        <v>20563</v>
      </c>
      <c r="P139">
        <v>20692</v>
      </c>
      <c r="Q139">
        <v>20300</v>
      </c>
      <c r="R139">
        <v>20897</v>
      </c>
      <c r="S139">
        <v>20913</v>
      </c>
      <c r="T139">
        <v>20342</v>
      </c>
      <c r="U139">
        <v>20338</v>
      </c>
      <c r="V139">
        <v>19726</v>
      </c>
    </row>
    <row r="140" spans="1:22" x14ac:dyDescent="0.25">
      <c r="A140" t="s">
        <v>56</v>
      </c>
      <c r="B140" t="s">
        <v>50</v>
      </c>
      <c r="C140">
        <v>7689</v>
      </c>
      <c r="D140">
        <v>8417</v>
      </c>
      <c r="E140">
        <v>10384</v>
      </c>
      <c r="F140">
        <v>10985</v>
      </c>
      <c r="G140">
        <v>13556</v>
      </c>
      <c r="H140">
        <v>14674</v>
      </c>
      <c r="I140">
        <v>15336</v>
      </c>
      <c r="J140">
        <v>15346</v>
      </c>
      <c r="K140">
        <v>15320</v>
      </c>
      <c r="L140">
        <v>16610</v>
      </c>
      <c r="M140">
        <v>16182</v>
      </c>
      <c r="O140">
        <v>17905</v>
      </c>
      <c r="P140">
        <v>18173</v>
      </c>
      <c r="Q140">
        <v>17963</v>
      </c>
      <c r="R140">
        <v>18801</v>
      </c>
      <c r="S140">
        <v>18964</v>
      </c>
      <c r="T140">
        <v>18544</v>
      </c>
      <c r="U140">
        <v>18502</v>
      </c>
      <c r="V140">
        <v>18086</v>
      </c>
    </row>
    <row r="141" spans="1:22" x14ac:dyDescent="0.25">
      <c r="A141" t="s">
        <v>57</v>
      </c>
      <c r="B141">
        <v>20014</v>
      </c>
      <c r="C141">
        <v>21547</v>
      </c>
      <c r="D141">
        <v>22129</v>
      </c>
      <c r="E141">
        <v>25823</v>
      </c>
      <c r="F141">
        <v>25640</v>
      </c>
      <c r="G141">
        <v>32544</v>
      </c>
      <c r="H141">
        <v>35860</v>
      </c>
      <c r="I141">
        <v>37493</v>
      </c>
      <c r="J141">
        <v>36921</v>
      </c>
      <c r="K141">
        <v>36302</v>
      </c>
      <c r="L141">
        <v>37466</v>
      </c>
      <c r="M141">
        <v>33149</v>
      </c>
      <c r="O141">
        <v>37275</v>
      </c>
      <c r="P141">
        <v>36747</v>
      </c>
      <c r="Q141">
        <v>36234</v>
      </c>
      <c r="R141">
        <v>37311</v>
      </c>
      <c r="S141">
        <v>37585</v>
      </c>
      <c r="T141">
        <v>36550</v>
      </c>
      <c r="U141">
        <v>36228</v>
      </c>
      <c r="V141">
        <v>35373</v>
      </c>
    </row>
    <row r="142" spans="1:22" x14ac:dyDescent="0.25">
      <c r="A142" t="s">
        <v>58</v>
      </c>
      <c r="B142">
        <v>24288</v>
      </c>
      <c r="C142">
        <v>9705</v>
      </c>
      <c r="D142">
        <v>11089</v>
      </c>
      <c r="E142">
        <v>13087</v>
      </c>
      <c r="F142">
        <v>13009</v>
      </c>
      <c r="G142">
        <v>18187</v>
      </c>
      <c r="H142">
        <v>19712</v>
      </c>
      <c r="I142">
        <v>21408</v>
      </c>
      <c r="J142">
        <v>21285</v>
      </c>
      <c r="K142">
        <v>21071</v>
      </c>
      <c r="L142">
        <v>36915</v>
      </c>
      <c r="M142">
        <v>20768</v>
      </c>
      <c r="O142">
        <v>23266</v>
      </c>
      <c r="P142">
        <v>23760</v>
      </c>
      <c r="Q142">
        <v>23499</v>
      </c>
      <c r="R142">
        <v>24594</v>
      </c>
      <c r="S142">
        <v>24982</v>
      </c>
      <c r="T142">
        <v>24615</v>
      </c>
      <c r="U142">
        <v>24995</v>
      </c>
      <c r="V142">
        <v>24597</v>
      </c>
    </row>
    <row r="143" spans="1:22" x14ac:dyDescent="0.25">
      <c r="A143" t="s">
        <v>59</v>
      </c>
      <c r="B143" t="s">
        <v>50</v>
      </c>
      <c r="C143">
        <v>8202</v>
      </c>
      <c r="D143">
        <v>8713</v>
      </c>
      <c r="E143">
        <v>10143</v>
      </c>
      <c r="F143">
        <v>9952</v>
      </c>
      <c r="G143">
        <v>10737</v>
      </c>
      <c r="H143">
        <v>13361</v>
      </c>
      <c r="I143">
        <v>15131</v>
      </c>
      <c r="J143">
        <v>16053</v>
      </c>
      <c r="K143">
        <v>16319</v>
      </c>
      <c r="L143">
        <v>22618</v>
      </c>
      <c r="M143">
        <v>16587</v>
      </c>
      <c r="O143">
        <v>18250</v>
      </c>
      <c r="P143">
        <v>18381</v>
      </c>
      <c r="Q143">
        <v>19062</v>
      </c>
      <c r="R143">
        <v>19079</v>
      </c>
      <c r="S143">
        <v>20179</v>
      </c>
      <c r="T143">
        <v>22562</v>
      </c>
      <c r="U143">
        <v>22426</v>
      </c>
      <c r="V143">
        <v>12020</v>
      </c>
    </row>
    <row r="144" spans="1:22" x14ac:dyDescent="0.25">
      <c r="A144" t="s">
        <v>60</v>
      </c>
      <c r="V144">
        <v>10072</v>
      </c>
    </row>
    <row r="145" spans="1:22" x14ac:dyDescent="0.25">
      <c r="A145" t="s">
        <v>61</v>
      </c>
      <c r="B145">
        <v>8036</v>
      </c>
      <c r="C145">
        <v>19609</v>
      </c>
      <c r="D145">
        <v>20923</v>
      </c>
      <c r="E145">
        <v>23980</v>
      </c>
      <c r="F145">
        <v>23620</v>
      </c>
      <c r="G145">
        <v>25943</v>
      </c>
      <c r="H145">
        <v>30562</v>
      </c>
      <c r="I145">
        <v>34212</v>
      </c>
      <c r="J145">
        <v>36424</v>
      </c>
      <c r="K145">
        <v>36254</v>
      </c>
      <c r="L145">
        <v>16676</v>
      </c>
      <c r="M145">
        <v>35286</v>
      </c>
      <c r="O145">
        <v>40804</v>
      </c>
      <c r="P145">
        <v>40456</v>
      </c>
      <c r="Q145">
        <v>41027</v>
      </c>
      <c r="R145">
        <v>41083</v>
      </c>
      <c r="S145">
        <v>44148</v>
      </c>
      <c r="T145">
        <v>46521</v>
      </c>
      <c r="U145">
        <v>45806</v>
      </c>
      <c r="V145">
        <v>21176</v>
      </c>
    </row>
    <row r="146" spans="1:22" x14ac:dyDescent="0.25">
      <c r="A146" t="s">
        <v>62</v>
      </c>
      <c r="V146">
        <v>7388</v>
      </c>
    </row>
    <row r="147" spans="1:22" x14ac:dyDescent="0.25">
      <c r="A147" t="s">
        <v>63</v>
      </c>
      <c r="V147">
        <v>9736</v>
      </c>
    </row>
    <row r="148" spans="1:22" x14ac:dyDescent="0.25">
      <c r="A148" t="s">
        <v>64</v>
      </c>
      <c r="V148">
        <v>6738</v>
      </c>
    </row>
    <row r="149" spans="1:22" x14ac:dyDescent="0.25">
      <c r="A149" t="s">
        <v>65</v>
      </c>
      <c r="B149">
        <v>224</v>
      </c>
      <c r="C149">
        <v>165</v>
      </c>
      <c r="D149">
        <v>156</v>
      </c>
      <c r="E149">
        <v>153</v>
      </c>
      <c r="F149">
        <v>144</v>
      </c>
      <c r="G149" t="s">
        <v>50</v>
      </c>
      <c r="H149">
        <v>132</v>
      </c>
      <c r="I149" t="s">
        <v>50</v>
      </c>
      <c r="J149" t="s">
        <v>50</v>
      </c>
      <c r="K149" t="s">
        <v>50</v>
      </c>
      <c r="L149" t="s">
        <v>50</v>
      </c>
      <c r="Q149">
        <v>17</v>
      </c>
      <c r="R149">
        <v>17</v>
      </c>
      <c r="S149">
        <v>15</v>
      </c>
      <c r="T149">
        <v>18</v>
      </c>
      <c r="U149">
        <v>16</v>
      </c>
      <c r="V149">
        <v>4</v>
      </c>
    </row>
    <row r="150" spans="1:22" ht="24.95" customHeight="1" x14ac:dyDescent="0.25">
      <c r="A150" t="s">
        <v>66</v>
      </c>
      <c r="B150">
        <v>1456651</v>
      </c>
      <c r="C150">
        <v>1550024</v>
      </c>
      <c r="D150">
        <v>1580911</v>
      </c>
      <c r="E150">
        <v>1774646</v>
      </c>
      <c r="F150">
        <v>1825952</v>
      </c>
      <c r="G150">
        <v>2068936</v>
      </c>
      <c r="H150">
        <v>2137817</v>
      </c>
      <c r="I150">
        <v>2167640</v>
      </c>
      <c r="J150">
        <v>2135433</v>
      </c>
      <c r="K150">
        <v>2102197</v>
      </c>
      <c r="L150">
        <f>SUM(L111:L145)</f>
        <v>2166672</v>
      </c>
      <c r="M150">
        <f>SUM(M111:M149)</f>
        <v>2222764</v>
      </c>
      <c r="O150">
        <f>SUM(O111:O145)</f>
        <v>2156856</v>
      </c>
      <c r="P150">
        <f>SUM(P111:P145)</f>
        <v>2144163</v>
      </c>
      <c r="Q150">
        <f>SUM(Q111:Q149)</f>
        <v>2112312</v>
      </c>
      <c r="R150">
        <v>2157827</v>
      </c>
      <c r="S150">
        <v>2176588</v>
      </c>
      <c r="T150">
        <v>2105345</v>
      </c>
      <c r="U150">
        <f>SUM(U111:U149)</f>
        <v>2077132</v>
      </c>
      <c r="V150">
        <f>SUM(V111:V149)</f>
        <v>2004158</v>
      </c>
    </row>
    <row r="151" spans="1:22" ht="6" customHeight="1" x14ac:dyDescent="0.25"/>
    <row r="152" spans="1:22" x14ac:dyDescent="0.25">
      <c r="A152" t="s">
        <v>67</v>
      </c>
    </row>
    <row r="153" spans="1:22" x14ac:dyDescent="0.25">
      <c r="A153" t="s">
        <v>68</v>
      </c>
    </row>
  </sheetData>
  <mergeCells count="72">
    <mergeCell ref="U4:U7"/>
    <mergeCell ref="V4:V7"/>
    <mergeCell ref="U55:U58"/>
    <mergeCell ref="V55:V58"/>
    <mergeCell ref="U106:U109"/>
    <mergeCell ref="V106:V109"/>
    <mergeCell ref="D4:D7"/>
    <mergeCell ref="E4:E7"/>
    <mergeCell ref="F4:F7"/>
    <mergeCell ref="E55:E58"/>
    <mergeCell ref="G4:G7"/>
    <mergeCell ref="G55:G58"/>
    <mergeCell ref="D55:D58"/>
    <mergeCell ref="P55:P58"/>
    <mergeCell ref="P4:P7"/>
    <mergeCell ref="H4:H7"/>
    <mergeCell ref="K4:K7"/>
    <mergeCell ref="I4:I7"/>
    <mergeCell ref="H55:H58"/>
    <mergeCell ref="A4:A7"/>
    <mergeCell ref="B4:B7"/>
    <mergeCell ref="C4:C7"/>
    <mergeCell ref="H106:H109"/>
    <mergeCell ref="I106:I109"/>
    <mergeCell ref="A55:A58"/>
    <mergeCell ref="B55:B58"/>
    <mergeCell ref="C55:C58"/>
    <mergeCell ref="A106:A109"/>
    <mergeCell ref="B106:B109"/>
    <mergeCell ref="C106:C109"/>
    <mergeCell ref="D106:D109"/>
    <mergeCell ref="E106:E109"/>
    <mergeCell ref="F106:F109"/>
    <mergeCell ref="F55:F58"/>
    <mergeCell ref="G106:G109"/>
    <mergeCell ref="Q106:Q109"/>
    <mergeCell ref="L4:L7"/>
    <mergeCell ref="I55:I58"/>
    <mergeCell ref="O4:O7"/>
    <mergeCell ref="O55:O58"/>
    <mergeCell ref="O106:O109"/>
    <mergeCell ref="J4:J7"/>
    <mergeCell ref="J55:J58"/>
    <mergeCell ref="M106:N109"/>
    <mergeCell ref="M59:N59"/>
    <mergeCell ref="L55:L58"/>
    <mergeCell ref="L106:L109"/>
    <mergeCell ref="J106:J109"/>
    <mergeCell ref="K55:K58"/>
    <mergeCell ref="K106:K109"/>
    <mergeCell ref="P106:P109"/>
    <mergeCell ref="R55:R58"/>
    <mergeCell ref="S55:S58"/>
    <mergeCell ref="T55:T58"/>
    <mergeCell ref="Q4:Q7"/>
    <mergeCell ref="Q55:Q58"/>
    <mergeCell ref="M110:N110"/>
    <mergeCell ref="A1:V1"/>
    <mergeCell ref="A2:V2"/>
    <mergeCell ref="A103:V103"/>
    <mergeCell ref="A104:V104"/>
    <mergeCell ref="A52:V52"/>
    <mergeCell ref="A53:V53"/>
    <mergeCell ref="M4:N7"/>
    <mergeCell ref="M55:N58"/>
    <mergeCell ref="M8:N8"/>
    <mergeCell ref="R106:R109"/>
    <mergeCell ref="S106:S109"/>
    <mergeCell ref="T106:T109"/>
    <mergeCell ref="R4:R7"/>
    <mergeCell ref="S4:S7"/>
    <mergeCell ref="T4:T7"/>
  </mergeCells>
  <pageMargins left="0.35433070866141736" right="0.35433070866141736" top="0.59055118110236227" bottom="0.59055118110236227" header="0.51181102362204722" footer="0"/>
  <ignoredErrors>
    <ignoredError sqref="A1:V18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AAA9-AE0E-49AD-BEEE-C99458B69420}">
  <dimension ref="A1:P72"/>
  <sheetViews>
    <sheetView topLeftCell="A21" zoomScale="91" zoomScaleNormal="91" workbookViewId="0">
      <selection sqref="A1:D42"/>
    </sheetView>
  </sheetViews>
  <sheetFormatPr defaultRowHeight="15.75" x14ac:dyDescent="0.25"/>
  <cols>
    <col min="1" max="1" width="23.5" bestFit="1" customWidth="1"/>
    <col min="2" max="4" width="7.875" bestFit="1" customWidth="1"/>
    <col min="15" max="15" width="16.375" bestFit="1" customWidth="1"/>
    <col min="16" max="16" width="11.875" bestFit="1" customWidth="1"/>
  </cols>
  <sheetData>
    <row r="1" spans="1:4" x14ac:dyDescent="0.25">
      <c r="A1" s="18" t="s">
        <v>3</v>
      </c>
      <c r="B1" s="18">
        <v>2021</v>
      </c>
      <c r="C1" s="18">
        <v>2022</v>
      </c>
      <c r="D1" s="18">
        <v>2023</v>
      </c>
    </row>
    <row r="2" spans="1:4" x14ac:dyDescent="0.25">
      <c r="A2" s="18"/>
      <c r="B2" s="18"/>
      <c r="C2" s="18"/>
      <c r="D2" s="18"/>
    </row>
    <row r="3" spans="1:4" x14ac:dyDescent="0.25">
      <c r="A3" s="18"/>
      <c r="B3" s="18"/>
      <c r="C3" s="18"/>
      <c r="D3" s="18"/>
    </row>
    <row r="4" spans="1:4" x14ac:dyDescent="0.25">
      <c r="A4" s="18"/>
      <c r="B4" s="18"/>
      <c r="C4" s="18"/>
      <c r="D4" s="18"/>
    </row>
    <row r="5" spans="1:4" x14ac:dyDescent="0.25">
      <c r="A5" s="1" t="s">
        <v>25</v>
      </c>
      <c r="B5" s="1">
        <v>159489</v>
      </c>
      <c r="C5" s="1">
        <v>158120</v>
      </c>
      <c r="D5" s="1">
        <v>153733</v>
      </c>
    </row>
    <row r="6" spans="1:4" x14ac:dyDescent="0.25">
      <c r="A6" s="1" t="s">
        <v>26</v>
      </c>
      <c r="B6" s="1">
        <v>216619</v>
      </c>
      <c r="C6" s="1">
        <v>208606</v>
      </c>
      <c r="D6" s="1">
        <v>200846</v>
      </c>
    </row>
    <row r="7" spans="1:4" x14ac:dyDescent="0.25">
      <c r="A7" s="1" t="s">
        <v>27</v>
      </c>
      <c r="B7" s="1">
        <v>123316</v>
      </c>
      <c r="C7" s="1">
        <v>120156</v>
      </c>
      <c r="D7" s="1">
        <v>115185</v>
      </c>
    </row>
    <row r="8" spans="1:4" x14ac:dyDescent="0.25">
      <c r="A8" s="1" t="s">
        <v>28</v>
      </c>
      <c r="B8" s="1">
        <v>99510</v>
      </c>
      <c r="C8" s="1">
        <v>97247</v>
      </c>
      <c r="D8" s="1">
        <v>93980</v>
      </c>
    </row>
    <row r="9" spans="1:4" x14ac:dyDescent="0.25">
      <c r="A9" s="1" t="s">
        <v>29</v>
      </c>
      <c r="B9" s="1">
        <v>73054</v>
      </c>
      <c r="C9" s="1">
        <v>70299</v>
      </c>
      <c r="D9" s="1">
        <v>68021</v>
      </c>
    </row>
    <row r="10" spans="1:4" x14ac:dyDescent="0.25">
      <c r="A10" s="1" t="s">
        <v>30</v>
      </c>
      <c r="B10" s="1">
        <v>126642</v>
      </c>
      <c r="C10" s="1">
        <v>123545</v>
      </c>
      <c r="D10" s="1">
        <v>118773</v>
      </c>
    </row>
    <row r="11" spans="1:4" x14ac:dyDescent="0.25">
      <c r="A11" s="1" t="s">
        <v>31</v>
      </c>
      <c r="B11" s="1">
        <v>55758</v>
      </c>
      <c r="C11" s="1">
        <v>54176</v>
      </c>
      <c r="D11" s="1">
        <v>52418</v>
      </c>
    </row>
    <row r="12" spans="1:4" x14ac:dyDescent="0.25">
      <c r="A12" s="1" t="s">
        <v>32</v>
      </c>
      <c r="B12" s="1">
        <v>113466</v>
      </c>
      <c r="C12" s="1">
        <v>110393</v>
      </c>
      <c r="D12" s="1">
        <v>105734</v>
      </c>
    </row>
    <row r="13" spans="1:4" x14ac:dyDescent="0.25">
      <c r="A13" s="1" t="s">
        <v>33</v>
      </c>
      <c r="B13" s="1">
        <v>32047</v>
      </c>
      <c r="C13" s="1">
        <v>32205</v>
      </c>
      <c r="D13" s="1">
        <v>31366</v>
      </c>
    </row>
    <row r="14" spans="1:4" x14ac:dyDescent="0.25">
      <c r="A14" s="1" t="s">
        <v>34</v>
      </c>
      <c r="B14" s="1">
        <v>38898</v>
      </c>
      <c r="C14" s="1">
        <v>39933</v>
      </c>
      <c r="D14" s="1">
        <v>39038</v>
      </c>
    </row>
    <row r="15" spans="1:4" x14ac:dyDescent="0.25">
      <c r="A15" s="1" t="s">
        <v>35</v>
      </c>
      <c r="B15" s="1">
        <v>263930</v>
      </c>
      <c r="C15" s="1">
        <v>258181</v>
      </c>
      <c r="D15" s="1">
        <v>241855</v>
      </c>
    </row>
    <row r="16" spans="1:4" x14ac:dyDescent="0.25">
      <c r="A16" s="1" t="s">
        <v>37</v>
      </c>
      <c r="B16" s="1">
        <v>361805</v>
      </c>
      <c r="C16" s="1">
        <v>344118</v>
      </c>
      <c r="D16" s="1">
        <v>327676</v>
      </c>
    </row>
    <row r="17" spans="1:16" x14ac:dyDescent="0.25">
      <c r="A17" s="1" t="s">
        <v>38</v>
      </c>
      <c r="B17" s="1">
        <v>367199</v>
      </c>
      <c r="C17" s="1">
        <v>354004</v>
      </c>
      <c r="D17" s="1">
        <v>336097</v>
      </c>
    </row>
    <row r="18" spans="1:16" x14ac:dyDescent="0.25">
      <c r="A18" s="1" t="s">
        <v>39</v>
      </c>
      <c r="B18" s="1">
        <v>69973</v>
      </c>
      <c r="C18" s="1">
        <v>67561</v>
      </c>
      <c r="D18" s="1">
        <v>65117</v>
      </c>
    </row>
    <row r="19" spans="1:16" x14ac:dyDescent="0.25">
      <c r="A19" s="1" t="s">
        <v>40</v>
      </c>
      <c r="B19" s="1">
        <v>403754</v>
      </c>
      <c r="C19" s="1">
        <v>383805</v>
      </c>
      <c r="D19" s="1">
        <v>363512</v>
      </c>
    </row>
    <row r="20" spans="1:16" x14ac:dyDescent="0.25">
      <c r="A20" s="1" t="s">
        <v>41</v>
      </c>
      <c r="B20" s="1">
        <v>88859</v>
      </c>
      <c r="C20" s="1">
        <v>87171</v>
      </c>
      <c r="D20" s="1">
        <v>85161</v>
      </c>
    </row>
    <row r="21" spans="1:16" x14ac:dyDescent="0.25">
      <c r="A21" s="1" t="s">
        <v>42</v>
      </c>
      <c r="B21" s="1">
        <v>80891</v>
      </c>
      <c r="C21" s="1">
        <v>77615</v>
      </c>
      <c r="D21" s="1">
        <v>73166</v>
      </c>
    </row>
    <row r="22" spans="1:16" x14ac:dyDescent="0.25">
      <c r="A22" s="1" t="s">
        <v>43</v>
      </c>
      <c r="B22" s="1">
        <v>85470</v>
      </c>
      <c r="C22" s="1">
        <v>84200</v>
      </c>
      <c r="D22" s="1">
        <v>80890</v>
      </c>
    </row>
    <row r="23" spans="1:16" x14ac:dyDescent="0.25">
      <c r="A23" s="1" t="s">
        <v>44</v>
      </c>
      <c r="B23" s="1">
        <v>118336</v>
      </c>
      <c r="C23" s="1">
        <v>117429</v>
      </c>
      <c r="D23" s="1">
        <v>113014</v>
      </c>
    </row>
    <row r="24" spans="1:16" x14ac:dyDescent="0.25">
      <c r="A24" s="1" t="s">
        <v>45</v>
      </c>
      <c r="B24" s="1">
        <v>85653</v>
      </c>
      <c r="C24" s="1">
        <v>84691</v>
      </c>
      <c r="D24" s="1">
        <v>80898</v>
      </c>
    </row>
    <row r="25" spans="1:16" ht="16.5" thickBot="1" x14ac:dyDescent="0.3">
      <c r="A25" s="1" t="s">
        <v>46</v>
      </c>
      <c r="B25" s="1">
        <v>72650</v>
      </c>
      <c r="C25" s="1">
        <v>72318</v>
      </c>
      <c r="D25" s="1">
        <v>69775</v>
      </c>
    </row>
    <row r="26" spans="1:16" x14ac:dyDescent="0.25">
      <c r="A26" s="1" t="s">
        <v>47</v>
      </c>
      <c r="B26" s="1">
        <v>85328</v>
      </c>
      <c r="C26" s="1">
        <v>84236</v>
      </c>
      <c r="D26" s="1">
        <v>81306</v>
      </c>
      <c r="O26" s="3">
        <v>2021</v>
      </c>
      <c r="P26" s="3"/>
    </row>
    <row r="27" spans="1:16" x14ac:dyDescent="0.25">
      <c r="A27" s="1" t="s">
        <v>48</v>
      </c>
      <c r="B27" s="1">
        <v>76259</v>
      </c>
      <c r="C27" s="1">
        <v>75216</v>
      </c>
      <c r="D27" s="1">
        <v>72301</v>
      </c>
    </row>
    <row r="28" spans="1:16" x14ac:dyDescent="0.25">
      <c r="A28" s="1" t="s">
        <v>49</v>
      </c>
      <c r="B28" s="1">
        <v>22238</v>
      </c>
      <c r="C28" s="1">
        <v>22755</v>
      </c>
      <c r="D28" s="1">
        <v>22187</v>
      </c>
      <c r="O28" t="s">
        <v>73</v>
      </c>
      <c r="P28">
        <v>102452.15384615384</v>
      </c>
    </row>
    <row r="29" spans="1:16" x14ac:dyDescent="0.25">
      <c r="A29" s="1" t="s">
        <v>51</v>
      </c>
      <c r="B29" s="1">
        <v>71540</v>
      </c>
      <c r="C29" s="1">
        <v>70926</v>
      </c>
      <c r="D29" s="1">
        <v>68313</v>
      </c>
      <c r="O29" t="s">
        <v>74</v>
      </c>
      <c r="P29">
        <v>15855.254837144503</v>
      </c>
    </row>
    <row r="30" spans="1:16" x14ac:dyDescent="0.25">
      <c r="A30" s="1" t="s">
        <v>52</v>
      </c>
      <c r="B30" s="1">
        <v>86031</v>
      </c>
      <c r="C30" s="1">
        <v>84353</v>
      </c>
      <c r="D30" s="1">
        <v>81192</v>
      </c>
      <c r="O30" t="s">
        <v>75</v>
      </c>
      <c r="P30">
        <v>80891</v>
      </c>
    </row>
    <row r="31" spans="1:16" x14ac:dyDescent="0.25">
      <c r="A31" s="1" t="s">
        <v>53</v>
      </c>
      <c r="B31" s="1">
        <v>189671</v>
      </c>
      <c r="C31" s="1">
        <v>185021</v>
      </c>
      <c r="D31" s="1">
        <v>178741</v>
      </c>
      <c r="O31" t="s">
        <v>76</v>
      </c>
      <c r="P31">
        <v>0</v>
      </c>
    </row>
    <row r="32" spans="1:16" x14ac:dyDescent="0.25">
      <c r="A32" s="1" t="s">
        <v>54</v>
      </c>
      <c r="B32" s="1">
        <v>83081</v>
      </c>
      <c r="C32" s="1">
        <v>82349</v>
      </c>
      <c r="D32" s="1">
        <v>80337</v>
      </c>
      <c r="O32" t="s">
        <v>77</v>
      </c>
      <c r="P32">
        <v>99016.034722063938</v>
      </c>
    </row>
    <row r="33" spans="1:16" x14ac:dyDescent="0.25">
      <c r="A33" s="1" t="s">
        <v>55</v>
      </c>
      <c r="B33" s="1">
        <v>33835</v>
      </c>
      <c r="C33" s="1">
        <v>33806</v>
      </c>
      <c r="D33" s="1">
        <v>32725</v>
      </c>
      <c r="O33" t="s">
        <v>78</v>
      </c>
      <c r="P33">
        <v>9804175132.0809708</v>
      </c>
    </row>
    <row r="34" spans="1:16" x14ac:dyDescent="0.25">
      <c r="A34" s="1" t="s">
        <v>56</v>
      </c>
      <c r="B34" s="1">
        <v>36284</v>
      </c>
      <c r="C34" s="1">
        <v>35990</v>
      </c>
      <c r="D34" s="1">
        <v>34944</v>
      </c>
      <c r="O34" t="s">
        <v>79</v>
      </c>
      <c r="P34">
        <v>2.9361349568222384</v>
      </c>
    </row>
    <row r="35" spans="1:16" x14ac:dyDescent="0.25">
      <c r="A35" s="1" t="s">
        <v>57</v>
      </c>
      <c r="B35" s="1">
        <v>65696</v>
      </c>
      <c r="C35" s="1">
        <v>64498</v>
      </c>
      <c r="D35" s="1">
        <v>62798</v>
      </c>
      <c r="O35" t="s">
        <v>80</v>
      </c>
      <c r="P35">
        <v>1.7767413809403583</v>
      </c>
    </row>
    <row r="36" spans="1:16" x14ac:dyDescent="0.25">
      <c r="A36" s="1" t="s">
        <v>58</v>
      </c>
      <c r="B36" s="1">
        <v>46869</v>
      </c>
      <c r="C36" s="1">
        <v>47288</v>
      </c>
      <c r="D36" s="1">
        <v>46255</v>
      </c>
      <c r="O36" t="s">
        <v>81</v>
      </c>
      <c r="P36">
        <v>403754</v>
      </c>
    </row>
    <row r="37" spans="1:16" x14ac:dyDescent="0.25">
      <c r="A37" s="1" t="s">
        <v>59</v>
      </c>
      <c r="B37" s="1">
        <v>49986</v>
      </c>
      <c r="C37" s="1">
        <v>49380</v>
      </c>
      <c r="D37" s="1">
        <v>27529</v>
      </c>
      <c r="O37" t="s">
        <v>82</v>
      </c>
      <c r="P37">
        <v>0</v>
      </c>
    </row>
    <row r="38" spans="1:16" x14ac:dyDescent="0.25">
      <c r="A38" s="1" t="s">
        <v>60</v>
      </c>
      <c r="B38" s="1">
        <v>0</v>
      </c>
      <c r="C38" s="1">
        <v>0</v>
      </c>
      <c r="D38" s="1">
        <v>20820</v>
      </c>
      <c r="O38" t="s">
        <v>83</v>
      </c>
      <c r="P38">
        <v>403754</v>
      </c>
    </row>
    <row r="39" spans="1:16" x14ac:dyDescent="0.25">
      <c r="A39" s="1" t="s">
        <v>61</v>
      </c>
      <c r="B39" s="1">
        <v>111439</v>
      </c>
      <c r="C39" s="1">
        <v>108938</v>
      </c>
      <c r="D39" s="1">
        <v>45010</v>
      </c>
      <c r="O39" t="s">
        <v>84</v>
      </c>
      <c r="P39">
        <v>3995634</v>
      </c>
    </row>
    <row r="40" spans="1:16" ht="16.5" thickBot="1" x14ac:dyDescent="0.3">
      <c r="A40" s="1" t="s">
        <v>62</v>
      </c>
      <c r="B40" s="1">
        <v>0</v>
      </c>
      <c r="C40" s="1">
        <v>0</v>
      </c>
      <c r="D40" s="1">
        <v>16335</v>
      </c>
      <c r="O40" s="2" t="s">
        <v>85</v>
      </c>
      <c r="P40" s="2">
        <v>39</v>
      </c>
    </row>
    <row r="41" spans="1:16" ht="16.5" thickBot="1" x14ac:dyDescent="0.3">
      <c r="A41" s="1" t="s">
        <v>63</v>
      </c>
      <c r="B41" s="1">
        <v>0</v>
      </c>
      <c r="C41" s="1">
        <v>0</v>
      </c>
      <c r="D41" s="1">
        <v>24377</v>
      </c>
    </row>
    <row r="42" spans="1:16" x14ac:dyDescent="0.25">
      <c r="A42" s="1" t="s">
        <v>64</v>
      </c>
      <c r="B42" s="1">
        <v>0</v>
      </c>
      <c r="C42" s="1">
        <v>0</v>
      </c>
      <c r="D42" s="1">
        <v>20990</v>
      </c>
      <c r="O42" s="3">
        <v>2022</v>
      </c>
      <c r="P42" s="3"/>
    </row>
    <row r="43" spans="1:16" x14ac:dyDescent="0.25">
      <c r="A43" s="1" t="s">
        <v>65</v>
      </c>
      <c r="B43" s="1">
        <v>58</v>
      </c>
      <c r="C43" s="1">
        <v>50</v>
      </c>
      <c r="D43" s="1">
        <v>13</v>
      </c>
    </row>
    <row r="44" spans="1:16" x14ac:dyDescent="0.25">
      <c r="A44" s="1"/>
      <c r="B44" s="1"/>
      <c r="C44" s="1"/>
      <c r="D44" s="1"/>
      <c r="O44" t="s">
        <v>73</v>
      </c>
      <c r="P44">
        <v>99758.435897435891</v>
      </c>
    </row>
    <row r="45" spans="1:16" x14ac:dyDescent="0.25">
      <c r="O45" t="s">
        <v>74</v>
      </c>
      <c r="P45">
        <v>15168.719350532388</v>
      </c>
    </row>
    <row r="46" spans="1:16" x14ac:dyDescent="0.25">
      <c r="O46" t="s">
        <v>75</v>
      </c>
      <c r="P46">
        <v>77615</v>
      </c>
    </row>
    <row r="47" spans="1:16" x14ac:dyDescent="0.25">
      <c r="F47" s="17" t="s">
        <v>71</v>
      </c>
      <c r="G47" s="17"/>
      <c r="H47" s="17"/>
      <c r="I47" s="17"/>
      <c r="J47" s="17"/>
      <c r="K47" s="17"/>
      <c r="L47" s="17"/>
      <c r="O47" t="s">
        <v>76</v>
      </c>
      <c r="P47">
        <v>0</v>
      </c>
    </row>
    <row r="48" spans="1:16" ht="15.75" customHeight="1" x14ac:dyDescent="0.25">
      <c r="F48" s="16" t="s">
        <v>72</v>
      </c>
      <c r="G48" s="16"/>
      <c r="H48" s="16"/>
      <c r="I48" s="16"/>
      <c r="J48" s="16"/>
      <c r="K48" s="16"/>
      <c r="L48" s="16"/>
      <c r="O48" t="s">
        <v>77</v>
      </c>
      <c r="P48">
        <v>94728.621982341821</v>
      </c>
    </row>
    <row r="49" spans="6:16" x14ac:dyDescent="0.25">
      <c r="F49" s="16"/>
      <c r="G49" s="16"/>
      <c r="H49" s="16"/>
      <c r="I49" s="16"/>
      <c r="J49" s="16"/>
      <c r="K49" s="16"/>
      <c r="L49" s="16"/>
      <c r="O49" t="s">
        <v>78</v>
      </c>
      <c r="P49">
        <v>8973511822.6734142</v>
      </c>
    </row>
    <row r="50" spans="6:16" x14ac:dyDescent="0.25">
      <c r="F50" s="16"/>
      <c r="G50" s="16"/>
      <c r="H50" s="16"/>
      <c r="I50" s="16"/>
      <c r="J50" s="16"/>
      <c r="K50" s="16"/>
      <c r="L50" s="16"/>
      <c r="O50" t="s">
        <v>79</v>
      </c>
      <c r="P50">
        <v>2.7614872454548536</v>
      </c>
    </row>
    <row r="51" spans="6:16" x14ac:dyDescent="0.25">
      <c r="F51" s="16"/>
      <c r="G51" s="16"/>
      <c r="H51" s="16"/>
      <c r="I51" s="16"/>
      <c r="J51" s="16"/>
      <c r="K51" s="16"/>
      <c r="L51" s="16"/>
      <c r="O51" t="s">
        <v>80</v>
      </c>
      <c r="P51">
        <v>1.7297094120590077</v>
      </c>
    </row>
    <row r="52" spans="6:16" x14ac:dyDescent="0.25">
      <c r="F52" s="16"/>
      <c r="G52" s="16"/>
      <c r="H52" s="16"/>
      <c r="I52" s="16"/>
      <c r="J52" s="16"/>
      <c r="K52" s="16"/>
      <c r="L52" s="16"/>
      <c r="O52" t="s">
        <v>81</v>
      </c>
      <c r="P52">
        <v>383805</v>
      </c>
    </row>
    <row r="53" spans="6:16" x14ac:dyDescent="0.25">
      <c r="F53" s="16"/>
      <c r="G53" s="16"/>
      <c r="H53" s="16"/>
      <c r="I53" s="16"/>
      <c r="J53" s="16"/>
      <c r="K53" s="16"/>
      <c r="L53" s="16"/>
      <c r="O53" t="s">
        <v>82</v>
      </c>
      <c r="P53">
        <v>0</v>
      </c>
    </row>
    <row r="54" spans="6:16" x14ac:dyDescent="0.25">
      <c r="F54" s="16"/>
      <c r="G54" s="16"/>
      <c r="H54" s="16"/>
      <c r="I54" s="16"/>
      <c r="J54" s="16"/>
      <c r="K54" s="16"/>
      <c r="L54" s="16"/>
      <c r="O54" t="s">
        <v>83</v>
      </c>
      <c r="P54">
        <v>383805</v>
      </c>
    </row>
    <row r="55" spans="6:16" x14ac:dyDescent="0.25">
      <c r="F55" s="16"/>
      <c r="G55" s="16"/>
      <c r="H55" s="16"/>
      <c r="I55" s="16"/>
      <c r="J55" s="16"/>
      <c r="K55" s="16"/>
      <c r="L55" s="16"/>
      <c r="O55" t="s">
        <v>84</v>
      </c>
      <c r="P55">
        <v>3890579</v>
      </c>
    </row>
    <row r="56" spans="6:16" ht="16.5" thickBot="1" x14ac:dyDescent="0.3">
      <c r="F56" s="16"/>
      <c r="G56" s="16"/>
      <c r="H56" s="16"/>
      <c r="I56" s="16"/>
      <c r="J56" s="16"/>
      <c r="K56" s="16"/>
      <c r="L56" s="16"/>
      <c r="O56" s="2" t="s">
        <v>85</v>
      </c>
      <c r="P56" s="2">
        <v>39</v>
      </c>
    </row>
    <row r="57" spans="6:16" ht="16.5" thickBot="1" x14ac:dyDescent="0.3">
      <c r="F57" s="16"/>
      <c r="G57" s="16"/>
      <c r="H57" s="16"/>
      <c r="I57" s="16"/>
      <c r="J57" s="16"/>
      <c r="K57" s="16"/>
      <c r="L57" s="16"/>
    </row>
    <row r="58" spans="6:16" x14ac:dyDescent="0.25">
      <c r="O58" s="3">
        <v>2023</v>
      </c>
      <c r="P58" s="3"/>
    </row>
    <row r="60" spans="6:16" x14ac:dyDescent="0.25">
      <c r="O60" t="s">
        <v>73</v>
      </c>
      <c r="P60">
        <v>95703.282051282047</v>
      </c>
    </row>
    <row r="61" spans="6:16" x14ac:dyDescent="0.25">
      <c r="O61" t="s">
        <v>74</v>
      </c>
      <c r="P61">
        <v>14167.48551609578</v>
      </c>
    </row>
    <row r="62" spans="6:16" x14ac:dyDescent="0.25">
      <c r="O62" t="s">
        <v>75</v>
      </c>
      <c r="P62">
        <v>72301</v>
      </c>
    </row>
    <row r="63" spans="6:16" x14ac:dyDescent="0.25">
      <c r="O63" t="s">
        <v>76</v>
      </c>
      <c r="P63" t="e">
        <v>#N/A</v>
      </c>
    </row>
    <row r="64" spans="6:16" x14ac:dyDescent="0.25">
      <c r="O64" t="s">
        <v>77</v>
      </c>
      <c r="P64">
        <v>88475.91869035644</v>
      </c>
    </row>
    <row r="65" spans="15:16" x14ac:dyDescent="0.25">
      <c r="O65" t="s">
        <v>78</v>
      </c>
      <c r="P65">
        <v>7827988188.1025648</v>
      </c>
    </row>
    <row r="66" spans="15:16" x14ac:dyDescent="0.25">
      <c r="O66" t="s">
        <v>79</v>
      </c>
      <c r="P66">
        <v>2.9630116017650643</v>
      </c>
    </row>
    <row r="67" spans="15:16" x14ac:dyDescent="0.25">
      <c r="O67" t="s">
        <v>80</v>
      </c>
      <c r="P67">
        <v>1.8403338068329667</v>
      </c>
    </row>
    <row r="68" spans="15:16" x14ac:dyDescent="0.25">
      <c r="O68" t="s">
        <v>81</v>
      </c>
      <c r="P68">
        <v>363499</v>
      </c>
    </row>
    <row r="69" spans="15:16" x14ac:dyDescent="0.25">
      <c r="O69" t="s">
        <v>82</v>
      </c>
      <c r="P69">
        <v>13</v>
      </c>
    </row>
    <row r="70" spans="15:16" x14ac:dyDescent="0.25">
      <c r="O70" t="s">
        <v>83</v>
      </c>
      <c r="P70">
        <v>363512</v>
      </c>
    </row>
    <row r="71" spans="15:16" x14ac:dyDescent="0.25">
      <c r="O71" t="s">
        <v>84</v>
      </c>
      <c r="P71">
        <v>3732428</v>
      </c>
    </row>
    <row r="72" spans="15:16" ht="16.5" thickBot="1" x14ac:dyDescent="0.3">
      <c r="O72" s="2" t="s">
        <v>85</v>
      </c>
      <c r="P72" s="2">
        <v>39</v>
      </c>
    </row>
  </sheetData>
  <mergeCells count="6">
    <mergeCell ref="F48:L57"/>
    <mergeCell ref="F47:L47"/>
    <mergeCell ref="A1:A4"/>
    <mergeCell ref="B1:B4"/>
    <mergeCell ref="C1:C4"/>
    <mergeCell ref="D1:D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3D752-8B4B-4EF6-8883-023DBF32D10E}">
  <dimension ref="A1:V82"/>
  <sheetViews>
    <sheetView tabSelected="1" workbookViewId="0">
      <selection sqref="A1:D39"/>
    </sheetView>
  </sheetViews>
  <sheetFormatPr defaultRowHeight="15.75" x14ac:dyDescent="0.25"/>
  <cols>
    <col min="1" max="1" width="23.5" bestFit="1" customWidth="1"/>
    <col min="2" max="4" width="6.875" bestFit="1" customWidth="1"/>
    <col min="6" max="6" width="19.5" bestFit="1" customWidth="1"/>
    <col min="7" max="7" width="13.5" bestFit="1" customWidth="1"/>
    <col min="12" max="12" width="14.625" bestFit="1" customWidth="1"/>
  </cols>
  <sheetData>
    <row r="1" spans="1:17" x14ac:dyDescent="0.25">
      <c r="A1" s="20" t="s">
        <v>3</v>
      </c>
      <c r="B1" s="20" t="s">
        <v>95</v>
      </c>
      <c r="C1" s="20" t="s">
        <v>96</v>
      </c>
      <c r="D1" s="20" t="s">
        <v>97</v>
      </c>
      <c r="J1" s="19">
        <v>2021</v>
      </c>
      <c r="K1" s="19"/>
      <c r="M1" s="19">
        <v>2022</v>
      </c>
      <c r="N1" s="19"/>
      <c r="P1" s="19">
        <v>2023</v>
      </c>
      <c r="Q1" s="19"/>
    </row>
    <row r="2" spans="1:17" x14ac:dyDescent="0.25">
      <c r="A2" s="1" t="s">
        <v>25</v>
      </c>
      <c r="B2" s="1">
        <v>159489</v>
      </c>
      <c r="C2" s="1">
        <v>158120</v>
      </c>
      <c r="D2" s="1">
        <v>153733</v>
      </c>
      <c r="G2" s="7" t="s">
        <v>100</v>
      </c>
      <c r="H2" s="1">
        <f>LOG10(MEDIAN(B2:B39))</f>
        <v>4.9137396982149291</v>
      </c>
      <c r="J2" s="10" t="s">
        <v>101</v>
      </c>
      <c r="K2" s="1">
        <f>QUARTILE(B2:B39,1)</f>
        <v>47648.25</v>
      </c>
      <c r="M2" s="10" t="s">
        <v>101</v>
      </c>
      <c r="N2" s="1">
        <f>QUARTILE(C2:C39,1)</f>
        <v>47811</v>
      </c>
      <c r="P2" s="10" t="s">
        <v>101</v>
      </c>
      <c r="Q2" s="1">
        <f>QUARTILE($D$2:$D$39,1)</f>
        <v>40531</v>
      </c>
    </row>
    <row r="3" spans="1:17" x14ac:dyDescent="0.25">
      <c r="A3" s="1" t="s">
        <v>26</v>
      </c>
      <c r="B3" s="1">
        <v>216619</v>
      </c>
      <c r="C3" s="1">
        <v>208606</v>
      </c>
      <c r="D3" s="1">
        <v>200846</v>
      </c>
      <c r="G3" s="7" t="s">
        <v>98</v>
      </c>
      <c r="H3" s="1">
        <f>LOG10(MEDIAN(C2:C39))</f>
        <v>4.9029922597387872</v>
      </c>
      <c r="J3" s="10" t="s">
        <v>102</v>
      </c>
      <c r="K3" s="1">
        <f>QUARTILE(B2:B39,2)</f>
        <v>81986</v>
      </c>
      <c r="M3" s="10" t="s">
        <v>102</v>
      </c>
      <c r="N3" s="1">
        <f>QUARTILE(C2:C39,2)</f>
        <v>79982</v>
      </c>
      <c r="P3" s="10" t="s">
        <v>102</v>
      </c>
      <c r="Q3" s="1">
        <f>QUARTILE($D$2:$D$39,2)</f>
        <v>72733.5</v>
      </c>
    </row>
    <row r="4" spans="1:17" x14ac:dyDescent="0.25">
      <c r="A4" s="1" t="s">
        <v>27</v>
      </c>
      <c r="B4" s="1">
        <v>123316</v>
      </c>
      <c r="C4" s="1">
        <v>120156</v>
      </c>
      <c r="D4" s="1">
        <v>115185</v>
      </c>
      <c r="G4" s="7" t="s">
        <v>99</v>
      </c>
      <c r="H4" s="1">
        <f>LOG10(MEDIAN(D2:D39))</f>
        <v>4.8617344867067764</v>
      </c>
      <c r="J4" s="10" t="s">
        <v>103</v>
      </c>
      <c r="K4" s="1">
        <f>QUARTILE(B2:B39,3)</f>
        <v>117118.5</v>
      </c>
      <c r="M4" s="10" t="s">
        <v>103</v>
      </c>
      <c r="N4" s="1">
        <f>QUARTILE(C2:C39,3)</f>
        <v>115670</v>
      </c>
      <c r="P4" s="10" t="s">
        <v>103</v>
      </c>
      <c r="Q4" s="1">
        <f>QUARTILE($D$2:$D$39,3)</f>
        <v>111194</v>
      </c>
    </row>
    <row r="5" spans="1:17" x14ac:dyDescent="0.25">
      <c r="A5" s="1" t="s">
        <v>28</v>
      </c>
      <c r="B5" s="1">
        <v>99510</v>
      </c>
      <c r="C5" s="1">
        <v>97247</v>
      </c>
      <c r="D5" s="1">
        <v>93980</v>
      </c>
      <c r="J5" s="10" t="s">
        <v>104</v>
      </c>
      <c r="K5" s="1">
        <f>K4-K2</f>
        <v>69470.25</v>
      </c>
      <c r="M5" s="10" t="s">
        <v>104</v>
      </c>
      <c r="N5" s="1">
        <f>N4-N2</f>
        <v>67859</v>
      </c>
      <c r="P5" s="10" t="s">
        <v>104</v>
      </c>
      <c r="Q5" s="1">
        <f>Q4-Q2</f>
        <v>70663</v>
      </c>
    </row>
    <row r="6" spans="1:17" x14ac:dyDescent="0.25">
      <c r="A6" s="1" t="s">
        <v>29</v>
      </c>
      <c r="B6" s="1">
        <v>73054</v>
      </c>
      <c r="C6" s="1">
        <v>70299</v>
      </c>
      <c r="D6" s="1">
        <v>68021</v>
      </c>
    </row>
    <row r="7" spans="1:17" x14ac:dyDescent="0.25">
      <c r="A7" s="1" t="s">
        <v>30</v>
      </c>
      <c r="B7" s="1">
        <v>126642</v>
      </c>
      <c r="C7" s="1">
        <v>123545</v>
      </c>
      <c r="D7" s="1">
        <v>118773</v>
      </c>
    </row>
    <row r="8" spans="1:17" x14ac:dyDescent="0.25">
      <c r="A8" s="1" t="s">
        <v>31</v>
      </c>
      <c r="B8" s="1">
        <v>55758</v>
      </c>
      <c r="C8" s="1">
        <v>54176</v>
      </c>
      <c r="D8" s="1">
        <v>52418</v>
      </c>
    </row>
    <row r="9" spans="1:17" x14ac:dyDescent="0.25">
      <c r="A9" s="1" t="s">
        <v>32</v>
      </c>
      <c r="B9" s="1">
        <v>113466</v>
      </c>
      <c r="C9" s="1">
        <v>110393</v>
      </c>
      <c r="D9" s="1">
        <v>105734</v>
      </c>
      <c r="J9" s="9" t="s">
        <v>105</v>
      </c>
      <c r="K9" s="1">
        <f>LOG10(K5)</f>
        <v>4.8417988617565362</v>
      </c>
      <c r="L9" s="8" t="s">
        <v>110</v>
      </c>
      <c r="N9" t="s">
        <v>111</v>
      </c>
    </row>
    <row r="10" spans="1:17" ht="16.5" thickBot="1" x14ac:dyDescent="0.3">
      <c r="A10" s="1" t="s">
        <v>33</v>
      </c>
      <c r="B10" s="1">
        <v>32047</v>
      </c>
      <c r="C10" s="1">
        <v>32205</v>
      </c>
      <c r="D10" s="1">
        <v>31366</v>
      </c>
      <c r="J10" s="9" t="s">
        <v>106</v>
      </c>
      <c r="K10" s="1">
        <f>LOG10(N5)</f>
        <v>4.8316074554022039</v>
      </c>
      <c r="L10" s="8" t="s">
        <v>108</v>
      </c>
    </row>
    <row r="11" spans="1:17" x14ac:dyDescent="0.25">
      <c r="A11" s="1" t="s">
        <v>34</v>
      </c>
      <c r="B11" s="1">
        <v>38898</v>
      </c>
      <c r="C11" s="1">
        <v>39933</v>
      </c>
      <c r="D11" s="1">
        <v>39038</v>
      </c>
      <c r="J11" s="9" t="s">
        <v>107</v>
      </c>
      <c r="K11" s="1">
        <f>LOG10(Q5)</f>
        <v>4.8491920714768106</v>
      </c>
      <c r="L11" s="1" t="s">
        <v>109</v>
      </c>
      <c r="N11" s="3" t="s">
        <v>112</v>
      </c>
      <c r="O11" s="3"/>
    </row>
    <row r="12" spans="1:17" x14ac:dyDescent="0.25">
      <c r="A12" s="1" t="s">
        <v>35</v>
      </c>
      <c r="B12" s="1">
        <v>263930</v>
      </c>
      <c r="C12" s="1">
        <v>258181</v>
      </c>
      <c r="D12" s="1">
        <v>241855</v>
      </c>
      <c r="N12" t="s">
        <v>113</v>
      </c>
      <c r="O12">
        <v>0.68788667280093185</v>
      </c>
    </row>
    <row r="13" spans="1:17" x14ac:dyDescent="0.25">
      <c r="A13" s="1" t="s">
        <v>37</v>
      </c>
      <c r="B13" s="1">
        <v>361805</v>
      </c>
      <c r="C13" s="1">
        <v>344118</v>
      </c>
      <c r="D13" s="1">
        <v>327676</v>
      </c>
      <c r="J13">
        <v>4.9137396982149291</v>
      </c>
      <c r="K13">
        <v>4.8417988617565362</v>
      </c>
      <c r="N13" t="s">
        <v>114</v>
      </c>
      <c r="O13">
        <v>0.47318807461713625</v>
      </c>
    </row>
    <row r="14" spans="1:17" x14ac:dyDescent="0.25">
      <c r="A14" s="1" t="s">
        <v>38</v>
      </c>
      <c r="B14" s="1">
        <v>367199</v>
      </c>
      <c r="C14" s="1">
        <v>354004</v>
      </c>
      <c r="D14" s="1">
        <v>336097</v>
      </c>
      <c r="J14">
        <v>4.9029922597387872</v>
      </c>
      <c r="K14">
        <v>4.8316074554022039</v>
      </c>
      <c r="N14" t="s">
        <v>115</v>
      </c>
      <c r="O14">
        <v>-5.362385076572751E-2</v>
      </c>
    </row>
    <row r="15" spans="1:17" x14ac:dyDescent="0.25">
      <c r="A15" s="1" t="s">
        <v>39</v>
      </c>
      <c r="B15" s="1">
        <v>69973</v>
      </c>
      <c r="C15" s="1">
        <v>67561</v>
      </c>
      <c r="D15" s="1">
        <v>65117</v>
      </c>
      <c r="J15">
        <v>4.8617344867067764</v>
      </c>
      <c r="K15">
        <v>4.8491920714768106</v>
      </c>
      <c r="N15" t="s">
        <v>74</v>
      </c>
      <c r="O15">
        <v>9.062976136404919E-3</v>
      </c>
    </row>
    <row r="16" spans="1:17" ht="16.5" thickBot="1" x14ac:dyDescent="0.3">
      <c r="A16" s="1" t="s">
        <v>40</v>
      </c>
      <c r="B16" s="1">
        <v>403754</v>
      </c>
      <c r="C16" s="1">
        <v>383805</v>
      </c>
      <c r="D16" s="1">
        <v>363512</v>
      </c>
      <c r="N16" s="2" t="s">
        <v>116</v>
      </c>
      <c r="O16" s="2">
        <v>3</v>
      </c>
    </row>
    <row r="17" spans="1:22" x14ac:dyDescent="0.25">
      <c r="A17" s="1" t="s">
        <v>41</v>
      </c>
      <c r="B17" s="1">
        <v>88859</v>
      </c>
      <c r="C17" s="1">
        <v>87171</v>
      </c>
      <c r="D17" s="1">
        <v>85161</v>
      </c>
    </row>
    <row r="18" spans="1:22" ht="16.5" thickBot="1" x14ac:dyDescent="0.3">
      <c r="A18" s="1" t="s">
        <v>42</v>
      </c>
      <c r="B18" s="1">
        <v>80891</v>
      </c>
      <c r="C18" s="1">
        <v>77615</v>
      </c>
      <c r="D18" s="1">
        <v>73166</v>
      </c>
      <c r="N18" t="s">
        <v>117</v>
      </c>
    </row>
    <row r="19" spans="1:22" x14ac:dyDescent="0.25">
      <c r="A19" s="1" t="s">
        <v>43</v>
      </c>
      <c r="B19" s="1">
        <v>85470</v>
      </c>
      <c r="C19" s="1">
        <v>84200</v>
      </c>
      <c r="D19" s="1">
        <v>80890</v>
      </c>
      <c r="N19" s="11"/>
      <c r="O19" s="11" t="s">
        <v>121</v>
      </c>
      <c r="P19" s="11" t="s">
        <v>122</v>
      </c>
      <c r="Q19" s="11" t="s">
        <v>123</v>
      </c>
      <c r="R19" s="11" t="s">
        <v>124</v>
      </c>
      <c r="S19" s="11" t="s">
        <v>125</v>
      </c>
    </row>
    <row r="20" spans="1:22" x14ac:dyDescent="0.25">
      <c r="A20" s="1" t="s">
        <v>44</v>
      </c>
      <c r="B20" s="1">
        <v>118336</v>
      </c>
      <c r="C20" s="1">
        <v>117429</v>
      </c>
      <c r="D20" s="1">
        <v>113014</v>
      </c>
      <c r="N20" t="s">
        <v>118</v>
      </c>
      <c r="O20">
        <v>1</v>
      </c>
      <c r="P20">
        <v>7.3776808863755319E-5</v>
      </c>
      <c r="Q20">
        <v>7.3776808863755319E-5</v>
      </c>
      <c r="R20">
        <v>0.89821063612643914</v>
      </c>
      <c r="S20">
        <v>0.51707719280593145</v>
      </c>
    </row>
    <row r="21" spans="1:22" x14ac:dyDescent="0.25">
      <c r="A21" s="1" t="s">
        <v>45</v>
      </c>
      <c r="B21" s="1">
        <v>85653</v>
      </c>
      <c r="C21" s="1">
        <v>84691</v>
      </c>
      <c r="D21" s="1">
        <v>80898</v>
      </c>
      <c r="N21" t="s">
        <v>119</v>
      </c>
      <c r="O21">
        <v>1</v>
      </c>
      <c r="P21">
        <v>8.2137536449045033E-5</v>
      </c>
      <c r="Q21">
        <v>8.2137536449045033E-5</v>
      </c>
    </row>
    <row r="22" spans="1:22" ht="16.5" thickBot="1" x14ac:dyDescent="0.3">
      <c r="A22" s="1" t="s">
        <v>46</v>
      </c>
      <c r="B22" s="1">
        <v>72650</v>
      </c>
      <c r="C22" s="1">
        <v>72318</v>
      </c>
      <c r="D22" s="1">
        <v>69775</v>
      </c>
      <c r="N22" s="2" t="s">
        <v>2</v>
      </c>
      <c r="O22" s="2">
        <v>2</v>
      </c>
      <c r="P22" s="2">
        <v>1.5591434531280035E-4</v>
      </c>
      <c r="Q22" s="2"/>
      <c r="R22" s="2"/>
      <c r="S22" s="2"/>
    </row>
    <row r="23" spans="1:22" ht="16.5" thickBot="1" x14ac:dyDescent="0.3">
      <c r="A23" s="1" t="s">
        <v>47</v>
      </c>
      <c r="B23" s="1">
        <v>85328</v>
      </c>
      <c r="C23" s="1">
        <v>84236</v>
      </c>
      <c r="D23" s="1">
        <v>81306</v>
      </c>
    </row>
    <row r="24" spans="1:22" x14ac:dyDescent="0.25">
      <c r="A24" s="1" t="s">
        <v>48</v>
      </c>
      <c r="B24" s="1">
        <v>76259</v>
      </c>
      <c r="C24" s="1">
        <v>75216</v>
      </c>
      <c r="D24" s="1">
        <v>72301</v>
      </c>
      <c r="N24" s="11"/>
      <c r="O24" s="11" t="s">
        <v>126</v>
      </c>
      <c r="P24" s="11" t="s">
        <v>74</v>
      </c>
      <c r="Q24" s="11" t="s">
        <v>127</v>
      </c>
      <c r="R24" s="11" t="s">
        <v>128</v>
      </c>
      <c r="S24" s="11" t="s">
        <v>129</v>
      </c>
      <c r="T24" s="11" t="s">
        <v>130</v>
      </c>
      <c r="U24" s="11" t="s">
        <v>131</v>
      </c>
      <c r="V24" s="11" t="s">
        <v>132</v>
      </c>
    </row>
    <row r="25" spans="1:22" x14ac:dyDescent="0.25">
      <c r="A25" s="1" t="s">
        <v>49</v>
      </c>
      <c r="B25" s="1">
        <v>22238</v>
      </c>
      <c r="C25" s="1">
        <v>22755</v>
      </c>
      <c r="D25" s="1">
        <v>22187</v>
      </c>
      <c r="N25" t="s">
        <v>120</v>
      </c>
      <c r="O25">
        <v>5.923302928599254</v>
      </c>
      <c r="P25">
        <v>1.1421364960472802</v>
      </c>
      <c r="Q25">
        <v>5.1861602786520633</v>
      </c>
      <c r="R25">
        <v>0.12126532595763853</v>
      </c>
      <c r="S25">
        <v>-8.5889172268346812</v>
      </c>
      <c r="T25">
        <v>20.435523084033189</v>
      </c>
      <c r="U25">
        <v>-8.5889172268346812</v>
      </c>
      <c r="V25">
        <v>20.435523084033189</v>
      </c>
    </row>
    <row r="26" spans="1:22" ht="16.5" thickBot="1" x14ac:dyDescent="0.3">
      <c r="A26" s="1" t="s">
        <v>51</v>
      </c>
      <c r="B26" s="1">
        <v>71540</v>
      </c>
      <c r="C26" s="1">
        <v>70926</v>
      </c>
      <c r="D26" s="1">
        <v>68313</v>
      </c>
      <c r="N26" s="2" t="s">
        <v>133</v>
      </c>
      <c r="O26" s="2">
        <v>-0.22122954120615707</v>
      </c>
      <c r="P26" s="2">
        <v>0.23342857668578626</v>
      </c>
      <c r="Q26" s="2">
        <v>-0.94773975126425891</v>
      </c>
      <c r="R26" s="2">
        <v>0.51707719280593145</v>
      </c>
      <c r="S26" s="2">
        <v>-3.187220827849615</v>
      </c>
      <c r="T26" s="2">
        <v>2.7447617454373012</v>
      </c>
      <c r="U26" s="2">
        <v>-3.187220827849615</v>
      </c>
      <c r="V26" s="2">
        <v>2.7447617454373012</v>
      </c>
    </row>
    <row r="27" spans="1:22" x14ac:dyDescent="0.25">
      <c r="A27" s="1" t="s">
        <v>52</v>
      </c>
      <c r="B27" s="1">
        <v>86031</v>
      </c>
      <c r="C27" s="1">
        <v>84353</v>
      </c>
      <c r="D27" s="1">
        <v>81192</v>
      </c>
    </row>
    <row r="28" spans="1:22" x14ac:dyDescent="0.25">
      <c r="A28" s="1" t="s">
        <v>53</v>
      </c>
      <c r="B28" s="1">
        <v>189671</v>
      </c>
      <c r="C28" s="1">
        <v>185021</v>
      </c>
      <c r="D28" s="1">
        <v>178741</v>
      </c>
    </row>
    <row r="29" spans="1:22" x14ac:dyDescent="0.25">
      <c r="A29" s="1" t="s">
        <v>54</v>
      </c>
      <c r="B29" s="1">
        <v>83081</v>
      </c>
      <c r="C29" s="1">
        <v>82349</v>
      </c>
      <c r="D29" s="1">
        <v>80337</v>
      </c>
      <c r="J29" s="12" t="s">
        <v>134</v>
      </c>
      <c r="K29" s="1">
        <f>MAX(J13:J15)</f>
        <v>4.9137396982149291</v>
      </c>
      <c r="M29" s="14" t="s">
        <v>138</v>
      </c>
      <c r="N29" s="1">
        <f>(K31-K32)/(K29-K30)</f>
        <v>-0.22122954120616345</v>
      </c>
    </row>
    <row r="30" spans="1:22" x14ac:dyDescent="0.25">
      <c r="A30" s="1" t="s">
        <v>55</v>
      </c>
      <c r="B30" s="1">
        <v>33835</v>
      </c>
      <c r="C30" s="1">
        <v>33806</v>
      </c>
      <c r="D30" s="1">
        <v>32725</v>
      </c>
      <c r="J30" s="12" t="s">
        <v>135</v>
      </c>
      <c r="K30" s="1">
        <f>MIN(J13:J15)</f>
        <v>4.8617344867067764</v>
      </c>
    </row>
    <row r="31" spans="1:22" x14ac:dyDescent="0.25">
      <c r="A31" s="1" t="s">
        <v>56</v>
      </c>
      <c r="B31" s="1">
        <v>36284</v>
      </c>
      <c r="C31" s="1">
        <v>35990</v>
      </c>
      <c r="D31" s="1">
        <v>34944</v>
      </c>
      <c r="J31" s="12" t="s">
        <v>136</v>
      </c>
      <c r="K31" s="1">
        <f>O25+(O26*K29)</f>
        <v>4.8362385495566844</v>
      </c>
    </row>
    <row r="32" spans="1:22" x14ac:dyDescent="0.25">
      <c r="A32" s="1" t="s">
        <v>57</v>
      </c>
      <c r="B32" s="1">
        <v>65696</v>
      </c>
      <c r="C32" s="1">
        <v>64498</v>
      </c>
      <c r="D32" s="1">
        <v>62798</v>
      </c>
      <c r="J32" s="12" t="s">
        <v>137</v>
      </c>
      <c r="K32" s="1">
        <f>O25+(O26*K30)</f>
        <v>4.8477436386389625</v>
      </c>
    </row>
    <row r="33" spans="1:11" x14ac:dyDescent="0.25">
      <c r="A33" s="1" t="s">
        <v>58</v>
      </c>
      <c r="B33" s="1">
        <v>46869</v>
      </c>
      <c r="C33" s="1">
        <v>47288</v>
      </c>
      <c r="D33" s="1">
        <v>46255</v>
      </c>
    </row>
    <row r="34" spans="1:11" x14ac:dyDescent="0.25">
      <c r="A34" s="1" t="s">
        <v>59</v>
      </c>
      <c r="B34" s="1">
        <v>49986</v>
      </c>
      <c r="C34" s="1">
        <v>49380</v>
      </c>
      <c r="D34" s="1">
        <v>27529</v>
      </c>
    </row>
    <row r="35" spans="1:11" x14ac:dyDescent="0.25">
      <c r="A35" s="1" t="s">
        <v>60</v>
      </c>
      <c r="B35" s="1">
        <v>0</v>
      </c>
      <c r="C35" s="1">
        <v>0</v>
      </c>
      <c r="D35" s="1">
        <v>20820</v>
      </c>
    </row>
    <row r="36" spans="1:11" x14ac:dyDescent="0.25">
      <c r="A36" s="1" t="s">
        <v>61</v>
      </c>
      <c r="B36" s="1">
        <v>111439</v>
      </c>
      <c r="C36" s="1">
        <v>108938</v>
      </c>
      <c r="D36" s="1">
        <v>45010</v>
      </c>
    </row>
    <row r="37" spans="1:11" x14ac:dyDescent="0.25">
      <c r="A37" s="1" t="s">
        <v>62</v>
      </c>
      <c r="B37" s="1">
        <v>0</v>
      </c>
      <c r="C37" s="1">
        <v>0</v>
      </c>
      <c r="D37" s="1">
        <v>16335</v>
      </c>
    </row>
    <row r="38" spans="1:11" x14ac:dyDescent="0.25">
      <c r="A38" s="1" t="s">
        <v>63</v>
      </c>
      <c r="B38" s="1">
        <v>0</v>
      </c>
      <c r="C38" s="1">
        <v>0</v>
      </c>
      <c r="D38" s="1">
        <v>24377</v>
      </c>
    </row>
    <row r="39" spans="1:11" x14ac:dyDescent="0.25">
      <c r="A39" s="1" t="s">
        <v>64</v>
      </c>
      <c r="B39" s="1">
        <v>0</v>
      </c>
      <c r="C39" s="1">
        <v>0</v>
      </c>
      <c r="D39" s="1">
        <v>20990</v>
      </c>
    </row>
    <row r="44" spans="1:11" x14ac:dyDescent="0.25">
      <c r="B44" s="1" t="s">
        <v>95</v>
      </c>
      <c r="C44" s="1" t="s">
        <v>96</v>
      </c>
      <c r="D44" s="1" t="s">
        <v>97</v>
      </c>
      <c r="I44" s="13" t="s">
        <v>142</v>
      </c>
      <c r="J44" s="13" t="s">
        <v>143</v>
      </c>
      <c r="K44" s="13" t="s">
        <v>144</v>
      </c>
    </row>
    <row r="45" spans="1:11" x14ac:dyDescent="0.25">
      <c r="B45" s="1">
        <f>SQRT(B2)</f>
        <v>399.36073918200822</v>
      </c>
      <c r="C45" s="1">
        <f>SQRT(C2)</f>
        <v>397.64305601883706</v>
      </c>
      <c r="D45" s="1">
        <f>SQRT(D2)</f>
        <v>392.08800032645735</v>
      </c>
      <c r="F45" s="12" t="s">
        <v>139</v>
      </c>
      <c r="G45" s="1">
        <f>MEDIAN(B45:B82)</f>
        <v>286.32559027911753</v>
      </c>
      <c r="I45" s="1">
        <f t="shared" ref="I45:I82" si="0">B45-G$45</f>
        <v>113.03514890289068</v>
      </c>
      <c r="J45" s="1">
        <f>C45-$G$46</f>
        <v>114.86313484244266</v>
      </c>
      <c r="K45" s="1">
        <f>D45-$G$47</f>
        <v>122.39770194049464</v>
      </c>
    </row>
    <row r="46" spans="1:11" x14ac:dyDescent="0.25">
      <c r="B46" s="1">
        <f t="shared" ref="B46:D82" si="1">SQRT(B3)</f>
        <v>465.42346309570598</v>
      </c>
      <c r="C46" s="1">
        <f t="shared" si="1"/>
        <v>456.73405828775242</v>
      </c>
      <c r="D46" s="1">
        <f t="shared" si="1"/>
        <v>448.15845412086117</v>
      </c>
      <c r="F46" s="12" t="s">
        <v>140</v>
      </c>
      <c r="G46" s="1">
        <f>MEDIAN(C45:C82)</f>
        <v>282.7799211763944</v>
      </c>
      <c r="I46" s="1">
        <f t="shared" si="0"/>
        <v>179.09787281658845</v>
      </c>
      <c r="J46" s="1">
        <f t="shared" ref="J46:J82" si="2">C46-$G$46</f>
        <v>173.95413711135802</v>
      </c>
      <c r="K46" s="1">
        <f t="shared" ref="K46:K82" si="3">D46-$G$47</f>
        <v>178.46815573489846</v>
      </c>
    </row>
    <row r="47" spans="1:11" x14ac:dyDescent="0.25">
      <c r="B47" s="1">
        <f t="shared" si="1"/>
        <v>351.16377945340548</v>
      </c>
      <c r="C47" s="1">
        <f t="shared" si="1"/>
        <v>346.63525498714063</v>
      </c>
      <c r="D47" s="1">
        <f t="shared" si="1"/>
        <v>339.38915716327767</v>
      </c>
      <c r="F47" s="12" t="s">
        <v>141</v>
      </c>
      <c r="G47" s="1">
        <f>MEDIAN(D45:D82)</f>
        <v>269.69029838596271</v>
      </c>
      <c r="I47" s="1">
        <f t="shared" si="0"/>
        <v>64.838189174287947</v>
      </c>
      <c r="J47" s="1">
        <f t="shared" si="2"/>
        <v>63.855333810746231</v>
      </c>
      <c r="K47" s="1">
        <f t="shared" si="3"/>
        <v>69.698858777314967</v>
      </c>
    </row>
    <row r="48" spans="1:11" x14ac:dyDescent="0.25">
      <c r="B48" s="1">
        <f t="shared" si="1"/>
        <v>315.45205657912584</v>
      </c>
      <c r="C48" s="1">
        <f t="shared" si="1"/>
        <v>311.84451253789922</v>
      </c>
      <c r="D48" s="1">
        <f t="shared" si="1"/>
        <v>306.56157619636548</v>
      </c>
      <c r="I48" s="1">
        <f t="shared" si="0"/>
        <v>29.126466300008303</v>
      </c>
      <c r="J48" s="1">
        <f t="shared" si="2"/>
        <v>29.064591361504824</v>
      </c>
      <c r="K48" s="1">
        <f t="shared" si="3"/>
        <v>36.871277810402773</v>
      </c>
    </row>
    <row r="49" spans="2:11" x14ac:dyDescent="0.25">
      <c r="B49" s="1">
        <f t="shared" si="1"/>
        <v>270.28503473185486</v>
      </c>
      <c r="C49" s="1">
        <f t="shared" si="1"/>
        <v>265.13958587883479</v>
      </c>
      <c r="D49" s="1">
        <f t="shared" si="1"/>
        <v>260.80835876175439</v>
      </c>
      <c r="I49" s="1">
        <f t="shared" si="0"/>
        <v>-16.04055554726267</v>
      </c>
      <c r="J49" s="1">
        <f t="shared" si="2"/>
        <v>-17.640335297559602</v>
      </c>
      <c r="K49" s="1">
        <f t="shared" si="3"/>
        <v>-8.8819396242083144</v>
      </c>
    </row>
    <row r="50" spans="2:11" x14ac:dyDescent="0.25">
      <c r="B50" s="1">
        <f t="shared" si="1"/>
        <v>355.86795303876409</v>
      </c>
      <c r="C50" s="1">
        <f t="shared" si="1"/>
        <v>351.48968690418218</v>
      </c>
      <c r="D50" s="1">
        <f t="shared" si="1"/>
        <v>344.63458909401419</v>
      </c>
      <c r="I50" s="1">
        <f t="shared" si="0"/>
        <v>69.542362759646551</v>
      </c>
      <c r="J50" s="1">
        <f t="shared" si="2"/>
        <v>68.709765727787783</v>
      </c>
      <c r="K50" s="1">
        <f t="shared" si="3"/>
        <v>74.944290708051483</v>
      </c>
    </row>
    <row r="51" spans="2:11" x14ac:dyDescent="0.25">
      <c r="B51" s="1">
        <f t="shared" si="1"/>
        <v>236.13131939664422</v>
      </c>
      <c r="C51" s="1">
        <f t="shared" si="1"/>
        <v>232.75738441561847</v>
      </c>
      <c r="D51" s="1">
        <f t="shared" si="1"/>
        <v>228.94977615188881</v>
      </c>
      <c r="I51" s="1">
        <f t="shared" si="0"/>
        <v>-50.194270882473319</v>
      </c>
      <c r="J51" s="1">
        <f t="shared" si="2"/>
        <v>-50.022536760775921</v>
      </c>
      <c r="K51" s="1">
        <f t="shared" si="3"/>
        <v>-40.740522234073893</v>
      </c>
    </row>
    <row r="52" spans="2:11" x14ac:dyDescent="0.25">
      <c r="B52" s="1">
        <f t="shared" si="1"/>
        <v>336.84714634385728</v>
      </c>
      <c r="C52" s="1">
        <f t="shared" si="1"/>
        <v>332.25442058759728</v>
      </c>
      <c r="D52" s="1">
        <f t="shared" si="1"/>
        <v>325.16764906736955</v>
      </c>
      <c r="I52" s="1">
        <f t="shared" si="0"/>
        <v>50.521556064739741</v>
      </c>
      <c r="J52" s="1">
        <f t="shared" si="2"/>
        <v>49.474499411202885</v>
      </c>
      <c r="K52" s="1">
        <f t="shared" si="3"/>
        <v>55.477350681406847</v>
      </c>
    </row>
    <row r="53" spans="2:11" x14ac:dyDescent="0.25">
      <c r="B53" s="1">
        <f t="shared" si="1"/>
        <v>179.01675899200052</v>
      </c>
      <c r="C53" s="1">
        <f t="shared" si="1"/>
        <v>179.45751586378321</v>
      </c>
      <c r="D53" s="1">
        <f t="shared" si="1"/>
        <v>177.10448893238137</v>
      </c>
      <c r="I53" s="1">
        <f t="shared" si="0"/>
        <v>-107.30883128711702</v>
      </c>
      <c r="J53" s="1">
        <f t="shared" si="2"/>
        <v>-103.32240531261118</v>
      </c>
      <c r="K53" s="1">
        <f t="shared" si="3"/>
        <v>-92.585809453581334</v>
      </c>
    </row>
    <row r="54" spans="2:11" x14ac:dyDescent="0.25">
      <c r="B54" s="1">
        <f t="shared" si="1"/>
        <v>197.22575896672322</v>
      </c>
      <c r="C54" s="1">
        <f t="shared" si="1"/>
        <v>199.83242980057065</v>
      </c>
      <c r="D54" s="1">
        <f t="shared" si="1"/>
        <v>197.58036339677079</v>
      </c>
      <c r="I54" s="1">
        <f t="shared" si="0"/>
        <v>-89.099831312394315</v>
      </c>
      <c r="J54" s="1">
        <f t="shared" si="2"/>
        <v>-82.947491375823745</v>
      </c>
      <c r="K54" s="1">
        <f t="shared" si="3"/>
        <v>-72.109934989191913</v>
      </c>
    </row>
    <row r="55" spans="2:11" x14ac:dyDescent="0.25">
      <c r="B55" s="1">
        <f t="shared" si="1"/>
        <v>513.74117997295093</v>
      </c>
      <c r="C55" s="1">
        <f t="shared" si="1"/>
        <v>508.11514443086617</v>
      </c>
      <c r="D55" s="1">
        <f t="shared" si="1"/>
        <v>491.78755575959832</v>
      </c>
      <c r="I55" s="1">
        <f t="shared" si="0"/>
        <v>227.4155896938334</v>
      </c>
      <c r="J55" s="1">
        <f t="shared" si="2"/>
        <v>225.33522325447177</v>
      </c>
      <c r="K55" s="1">
        <f t="shared" si="3"/>
        <v>222.09725737363561</v>
      </c>
    </row>
    <row r="56" spans="2:11" x14ac:dyDescent="0.25">
      <c r="B56" s="1">
        <f t="shared" si="1"/>
        <v>601.5022859474434</v>
      </c>
      <c r="C56" s="1">
        <f t="shared" si="1"/>
        <v>586.61571748462381</v>
      </c>
      <c r="D56" s="1">
        <f t="shared" si="1"/>
        <v>572.42990837306888</v>
      </c>
      <c r="I56" s="1">
        <f t="shared" si="0"/>
        <v>315.17669566832586</v>
      </c>
      <c r="J56" s="1">
        <f t="shared" si="2"/>
        <v>303.83579630822942</v>
      </c>
      <c r="K56" s="1">
        <f t="shared" si="3"/>
        <v>302.73960998710618</v>
      </c>
    </row>
    <row r="57" spans="2:11" x14ac:dyDescent="0.25">
      <c r="B57" s="1">
        <f t="shared" si="1"/>
        <v>605.96947117821048</v>
      </c>
      <c r="C57" s="1">
        <f t="shared" si="1"/>
        <v>594.98235267947234</v>
      </c>
      <c r="D57" s="1">
        <f t="shared" si="1"/>
        <v>579.7387342588039</v>
      </c>
      <c r="I57" s="1">
        <f t="shared" si="0"/>
        <v>319.64388089909295</v>
      </c>
      <c r="J57" s="1">
        <f t="shared" si="2"/>
        <v>312.20243150307795</v>
      </c>
      <c r="K57" s="1">
        <f t="shared" si="3"/>
        <v>310.0484358728412</v>
      </c>
    </row>
    <row r="58" spans="2:11" x14ac:dyDescent="0.25">
      <c r="B58" s="1">
        <f t="shared" si="1"/>
        <v>264.52410098136613</v>
      </c>
      <c r="C58" s="1">
        <f t="shared" si="1"/>
        <v>259.92498917957079</v>
      </c>
      <c r="D58" s="1">
        <f t="shared" si="1"/>
        <v>255.18032839543099</v>
      </c>
      <c r="I58" s="1">
        <f t="shared" si="0"/>
        <v>-21.801489297751402</v>
      </c>
      <c r="J58" s="1">
        <f t="shared" si="2"/>
        <v>-22.854931996823609</v>
      </c>
      <c r="K58" s="1">
        <f t="shared" si="3"/>
        <v>-14.509969990531715</v>
      </c>
    </row>
    <row r="59" spans="2:11" x14ac:dyDescent="0.25">
      <c r="B59" s="1">
        <f t="shared" si="1"/>
        <v>635.41639890704744</v>
      </c>
      <c r="C59" s="1">
        <f t="shared" si="1"/>
        <v>619.51997546487553</v>
      </c>
      <c r="D59" s="1">
        <f t="shared" si="1"/>
        <v>602.91956345768051</v>
      </c>
      <c r="I59" s="1">
        <f t="shared" si="0"/>
        <v>349.0908086279299</v>
      </c>
      <c r="J59" s="1">
        <f t="shared" si="2"/>
        <v>336.74005428848113</v>
      </c>
      <c r="K59" s="1">
        <f t="shared" si="3"/>
        <v>333.2292650717178</v>
      </c>
    </row>
    <row r="60" spans="2:11" x14ac:dyDescent="0.25">
      <c r="B60" s="1">
        <f t="shared" si="1"/>
        <v>298.09226759511893</v>
      </c>
      <c r="C60" s="1">
        <f t="shared" si="1"/>
        <v>295.24735392548399</v>
      </c>
      <c r="D60" s="1">
        <f t="shared" si="1"/>
        <v>291.82357684052874</v>
      </c>
      <c r="I60" s="1">
        <f t="shared" si="0"/>
        <v>11.766677316001392</v>
      </c>
      <c r="J60" s="1">
        <f t="shared" si="2"/>
        <v>12.467432749089596</v>
      </c>
      <c r="K60" s="1">
        <f t="shared" si="3"/>
        <v>22.133278454566039</v>
      </c>
    </row>
    <row r="61" spans="2:11" x14ac:dyDescent="0.25">
      <c r="B61" s="1">
        <f t="shared" si="1"/>
        <v>284.41343146905001</v>
      </c>
      <c r="C61" s="1">
        <f t="shared" si="1"/>
        <v>278.59468767368844</v>
      </c>
      <c r="D61" s="1">
        <f t="shared" si="1"/>
        <v>270.492144063372</v>
      </c>
      <c r="I61" s="1">
        <f t="shared" si="0"/>
        <v>-1.912158810067524</v>
      </c>
      <c r="J61" s="1">
        <f t="shared" si="2"/>
        <v>-4.1852335027059553</v>
      </c>
      <c r="K61" s="1">
        <f t="shared" si="3"/>
        <v>0.80184567740928969</v>
      </c>
    </row>
    <row r="62" spans="2:11" x14ac:dyDescent="0.25">
      <c r="B62" s="1">
        <f t="shared" si="1"/>
        <v>292.35252692596998</v>
      </c>
      <c r="C62" s="1">
        <f t="shared" si="1"/>
        <v>290.17236257093816</v>
      </c>
      <c r="D62" s="1">
        <f t="shared" si="1"/>
        <v>284.41167345944154</v>
      </c>
      <c r="I62" s="1">
        <f t="shared" si="0"/>
        <v>6.0269366468524481</v>
      </c>
      <c r="J62" s="1">
        <f t="shared" si="2"/>
        <v>7.3924413945437664</v>
      </c>
      <c r="K62" s="1">
        <f t="shared" si="3"/>
        <v>14.721375073478839</v>
      </c>
    </row>
    <row r="63" spans="2:11" x14ac:dyDescent="0.25">
      <c r="B63" s="1">
        <f t="shared" si="1"/>
        <v>344</v>
      </c>
      <c r="C63" s="1">
        <f t="shared" si="1"/>
        <v>342.67915022656399</v>
      </c>
      <c r="D63" s="1">
        <f t="shared" si="1"/>
        <v>336.17554937859478</v>
      </c>
      <c r="I63" s="1">
        <f t="shared" si="0"/>
        <v>57.674409720882466</v>
      </c>
      <c r="J63" s="1">
        <f t="shared" si="2"/>
        <v>59.899229050169595</v>
      </c>
      <c r="K63" s="1">
        <f t="shared" si="3"/>
        <v>66.485250992632075</v>
      </c>
    </row>
    <row r="64" spans="2:11" x14ac:dyDescent="0.25">
      <c r="B64" s="1">
        <f t="shared" si="1"/>
        <v>292.66533788612549</v>
      </c>
      <c r="C64" s="1">
        <f t="shared" si="1"/>
        <v>291.01718162335362</v>
      </c>
      <c r="D64" s="1">
        <f t="shared" si="1"/>
        <v>284.42573723205851</v>
      </c>
      <c r="I64" s="1">
        <f t="shared" si="0"/>
        <v>6.3397476070079506</v>
      </c>
      <c r="J64" s="1">
        <f t="shared" si="2"/>
        <v>8.2372604469592261</v>
      </c>
      <c r="K64" s="1">
        <f t="shared" si="3"/>
        <v>14.735438846095803</v>
      </c>
    </row>
    <row r="65" spans="2:11" x14ac:dyDescent="0.25">
      <c r="B65" s="1">
        <f t="shared" si="1"/>
        <v>269.53663943887108</v>
      </c>
      <c r="C65" s="1">
        <f t="shared" si="1"/>
        <v>268.92006247210338</v>
      </c>
      <c r="D65" s="1">
        <f t="shared" si="1"/>
        <v>264.1495788374458</v>
      </c>
      <c r="I65" s="1">
        <f t="shared" si="0"/>
        <v>-16.788950840246457</v>
      </c>
      <c r="J65" s="1">
        <f t="shared" si="2"/>
        <v>-13.859858704291014</v>
      </c>
      <c r="K65" s="1">
        <f t="shared" si="3"/>
        <v>-5.5407195485169041</v>
      </c>
    </row>
    <row r="66" spans="2:11" x14ac:dyDescent="0.25">
      <c r="B66" s="1">
        <f t="shared" si="1"/>
        <v>292.10956848415628</v>
      </c>
      <c r="C66" s="1">
        <f t="shared" si="1"/>
        <v>290.23438803835774</v>
      </c>
      <c r="D66" s="1">
        <f t="shared" si="1"/>
        <v>285.14206985290684</v>
      </c>
      <c r="I66" s="1">
        <f t="shared" si="0"/>
        <v>5.7839782050387498</v>
      </c>
      <c r="J66" s="1">
        <f t="shared" si="2"/>
        <v>7.4544668619633399</v>
      </c>
      <c r="K66" s="1">
        <f t="shared" si="3"/>
        <v>15.451771466944138</v>
      </c>
    </row>
    <row r="67" spans="2:11" x14ac:dyDescent="0.25">
      <c r="B67" s="1">
        <f t="shared" si="1"/>
        <v>276.15032138311915</v>
      </c>
      <c r="C67" s="1">
        <f t="shared" si="1"/>
        <v>274.2553554627512</v>
      </c>
      <c r="D67" s="1">
        <f t="shared" si="1"/>
        <v>268.88845270855347</v>
      </c>
      <c r="I67" s="1">
        <f t="shared" si="0"/>
        <v>-10.175268895998386</v>
      </c>
      <c r="J67" s="1">
        <f t="shared" si="2"/>
        <v>-8.5245657136431987</v>
      </c>
      <c r="K67" s="1">
        <f t="shared" si="3"/>
        <v>-0.80184567740923285</v>
      </c>
    </row>
    <row r="68" spans="2:11" x14ac:dyDescent="0.25">
      <c r="B68" s="1">
        <f t="shared" si="1"/>
        <v>149.12410938543775</v>
      </c>
      <c r="C68" s="1">
        <f t="shared" si="1"/>
        <v>150.84760521798151</v>
      </c>
      <c r="D68" s="1">
        <f t="shared" si="1"/>
        <v>148.95301272549005</v>
      </c>
      <c r="I68" s="1">
        <f t="shared" si="0"/>
        <v>-137.20148089367979</v>
      </c>
      <c r="J68" s="1">
        <f t="shared" si="2"/>
        <v>-131.93231595841289</v>
      </c>
      <c r="K68" s="1">
        <f t="shared" si="3"/>
        <v>-120.73728566047265</v>
      </c>
    </row>
    <row r="69" spans="2:11" x14ac:dyDescent="0.25">
      <c r="B69" s="1">
        <f t="shared" si="1"/>
        <v>267.46962444359923</v>
      </c>
      <c r="C69" s="1">
        <f t="shared" si="1"/>
        <v>266.3193571635378</v>
      </c>
      <c r="D69" s="1">
        <f t="shared" si="1"/>
        <v>261.3675572828426</v>
      </c>
      <c r="I69" s="1">
        <f t="shared" si="0"/>
        <v>-18.855965835518305</v>
      </c>
      <c r="J69" s="1">
        <f t="shared" si="2"/>
        <v>-16.460564012856594</v>
      </c>
      <c r="K69" s="1">
        <f t="shared" si="3"/>
        <v>-8.3227411031201086</v>
      </c>
    </row>
    <row r="70" spans="2:11" x14ac:dyDescent="0.25">
      <c r="B70" s="1">
        <f t="shared" si="1"/>
        <v>293.31041577141445</v>
      </c>
      <c r="C70" s="1">
        <f t="shared" si="1"/>
        <v>290.43587932622927</v>
      </c>
      <c r="D70" s="1">
        <f t="shared" si="1"/>
        <v>284.94209938161123</v>
      </c>
      <c r="I70" s="1">
        <f t="shared" si="0"/>
        <v>6.9848254922969204</v>
      </c>
      <c r="J70" s="1">
        <f t="shared" si="2"/>
        <v>7.6559581498348734</v>
      </c>
      <c r="K70" s="1">
        <f t="shared" si="3"/>
        <v>15.251800995648523</v>
      </c>
    </row>
    <row r="71" spans="2:11" x14ac:dyDescent="0.25">
      <c r="B71" s="1">
        <f t="shared" si="1"/>
        <v>435.51234196059244</v>
      </c>
      <c r="C71" s="1">
        <f t="shared" si="1"/>
        <v>430.14067466353379</v>
      </c>
      <c r="D71" s="1">
        <f t="shared" si="1"/>
        <v>422.7777193750872</v>
      </c>
      <c r="I71" s="1">
        <f t="shared" si="0"/>
        <v>149.1867516814749</v>
      </c>
      <c r="J71" s="1">
        <f t="shared" si="2"/>
        <v>147.36075348713939</v>
      </c>
      <c r="K71" s="1">
        <f t="shared" si="3"/>
        <v>153.0874209891245</v>
      </c>
    </row>
    <row r="72" spans="2:11" x14ac:dyDescent="0.25">
      <c r="B72" s="1">
        <f t="shared" si="1"/>
        <v>288.23774908918506</v>
      </c>
      <c r="C72" s="1">
        <f t="shared" si="1"/>
        <v>286.96515467910035</v>
      </c>
      <c r="D72" s="1">
        <f t="shared" si="1"/>
        <v>283.43782386971571</v>
      </c>
      <c r="I72" s="1">
        <f t="shared" si="0"/>
        <v>1.912158810067524</v>
      </c>
      <c r="J72" s="1">
        <f t="shared" si="2"/>
        <v>4.1852335027059553</v>
      </c>
      <c r="K72" s="1">
        <f t="shared" si="3"/>
        <v>13.747525483753009</v>
      </c>
    </row>
    <row r="73" spans="2:11" x14ac:dyDescent="0.25">
      <c r="B73" s="1">
        <f t="shared" si="1"/>
        <v>183.9429259308441</v>
      </c>
      <c r="C73" s="1">
        <f t="shared" si="1"/>
        <v>183.86408023319834</v>
      </c>
      <c r="D73" s="1">
        <f t="shared" si="1"/>
        <v>180.90052515125544</v>
      </c>
      <c r="I73" s="1">
        <f t="shared" si="0"/>
        <v>-102.38266434827344</v>
      </c>
      <c r="J73" s="1">
        <f t="shared" si="2"/>
        <v>-98.915840943196059</v>
      </c>
      <c r="K73" s="1">
        <f t="shared" si="3"/>
        <v>-88.789773234707269</v>
      </c>
    </row>
    <row r="74" spans="2:11" x14ac:dyDescent="0.25">
      <c r="B74" s="1">
        <f t="shared" si="1"/>
        <v>190.48359509417077</v>
      </c>
      <c r="C74" s="1">
        <f t="shared" si="1"/>
        <v>189.71030546599201</v>
      </c>
      <c r="D74" s="1">
        <f t="shared" si="1"/>
        <v>186.93314312876677</v>
      </c>
      <c r="I74" s="1">
        <f t="shared" si="0"/>
        <v>-95.841995184946768</v>
      </c>
      <c r="J74" s="1">
        <f t="shared" si="2"/>
        <v>-93.069615710402388</v>
      </c>
      <c r="K74" s="1">
        <f t="shared" si="3"/>
        <v>-82.757155257195933</v>
      </c>
    </row>
    <row r="75" spans="2:11" x14ac:dyDescent="0.25">
      <c r="B75" s="1">
        <f t="shared" si="1"/>
        <v>256.31230949761272</v>
      </c>
      <c r="C75" s="1">
        <f t="shared" si="1"/>
        <v>253.96456445732738</v>
      </c>
      <c r="D75" s="1">
        <f t="shared" si="1"/>
        <v>250.59529125663954</v>
      </c>
      <c r="I75" s="1">
        <f t="shared" si="0"/>
        <v>-30.013280781504818</v>
      </c>
      <c r="J75" s="1">
        <f t="shared" si="2"/>
        <v>-28.815356719067012</v>
      </c>
      <c r="K75" s="1">
        <f t="shared" si="3"/>
        <v>-19.095007129323164</v>
      </c>
    </row>
    <row r="76" spans="2:11" x14ac:dyDescent="0.25">
      <c r="B76" s="1">
        <f t="shared" si="1"/>
        <v>216.49249409621572</v>
      </c>
      <c r="C76" s="1">
        <f t="shared" si="1"/>
        <v>217.45804192993185</v>
      </c>
      <c r="D76" s="1">
        <f t="shared" si="1"/>
        <v>215.06975612577423</v>
      </c>
      <c r="I76" s="1">
        <f t="shared" si="0"/>
        <v>-69.833096182901812</v>
      </c>
      <c r="J76" s="1">
        <f t="shared" si="2"/>
        <v>-65.321879246462544</v>
      </c>
      <c r="K76" s="1">
        <f t="shared" si="3"/>
        <v>-54.620542260188472</v>
      </c>
    </row>
    <row r="77" spans="2:11" x14ac:dyDescent="0.25">
      <c r="B77" s="1">
        <f t="shared" si="1"/>
        <v>223.5754906066405</v>
      </c>
      <c r="C77" s="1">
        <f t="shared" si="1"/>
        <v>222.21611102708101</v>
      </c>
      <c r="D77" s="1">
        <f t="shared" si="1"/>
        <v>165.91865476793137</v>
      </c>
      <c r="I77" s="1">
        <f t="shared" si="0"/>
        <v>-62.750099672477035</v>
      </c>
      <c r="J77" s="1">
        <f t="shared" si="2"/>
        <v>-60.563810149313383</v>
      </c>
      <c r="K77" s="1">
        <f t="shared" si="3"/>
        <v>-103.77164361803133</v>
      </c>
    </row>
    <row r="78" spans="2:11" x14ac:dyDescent="0.25">
      <c r="B78" s="1">
        <f t="shared" si="1"/>
        <v>0</v>
      </c>
      <c r="C78" s="1">
        <f t="shared" si="1"/>
        <v>0</v>
      </c>
      <c r="D78" s="1">
        <f t="shared" si="1"/>
        <v>144.29137188342204</v>
      </c>
      <c r="I78" s="1">
        <f t="shared" si="0"/>
        <v>-286.32559027911753</v>
      </c>
      <c r="J78" s="1">
        <f t="shared" si="2"/>
        <v>-282.7799211763944</v>
      </c>
      <c r="K78" s="1">
        <f t="shared" si="3"/>
        <v>-125.39892650254066</v>
      </c>
    </row>
    <row r="79" spans="2:11" x14ac:dyDescent="0.25">
      <c r="B79" s="1">
        <f t="shared" si="1"/>
        <v>333.8248043510248</v>
      </c>
      <c r="C79" s="1">
        <f t="shared" si="1"/>
        <v>330.05757073577331</v>
      </c>
      <c r="D79" s="1">
        <f t="shared" si="1"/>
        <v>212.15560327269228</v>
      </c>
      <c r="I79" s="1">
        <f t="shared" si="0"/>
        <v>47.499214071907261</v>
      </c>
      <c r="J79" s="1">
        <f t="shared" si="2"/>
        <v>47.277649559378915</v>
      </c>
      <c r="K79" s="1">
        <f t="shared" si="3"/>
        <v>-57.534695113270431</v>
      </c>
    </row>
    <row r="80" spans="2:11" x14ac:dyDescent="0.25">
      <c r="B80" s="1">
        <f t="shared" si="1"/>
        <v>0</v>
      </c>
      <c r="C80" s="1">
        <f t="shared" si="1"/>
        <v>0</v>
      </c>
      <c r="D80" s="1">
        <f t="shared" si="1"/>
        <v>127.80845042484475</v>
      </c>
      <c r="I80" s="1">
        <f t="shared" si="0"/>
        <v>-286.32559027911753</v>
      </c>
      <c r="J80" s="1">
        <f t="shared" si="2"/>
        <v>-282.7799211763944</v>
      </c>
      <c r="K80" s="1">
        <f t="shared" si="3"/>
        <v>-141.88184796111796</v>
      </c>
    </row>
    <row r="81" spans="2:11" x14ac:dyDescent="0.25">
      <c r="B81" s="1">
        <f t="shared" si="1"/>
        <v>0</v>
      </c>
      <c r="C81" s="1">
        <f t="shared" si="1"/>
        <v>0</v>
      </c>
      <c r="D81" s="1">
        <f t="shared" si="1"/>
        <v>156.13135495473034</v>
      </c>
      <c r="I81" s="1">
        <f t="shared" si="0"/>
        <v>-286.32559027911753</v>
      </c>
      <c r="J81" s="1">
        <f t="shared" si="2"/>
        <v>-282.7799211763944</v>
      </c>
      <c r="K81" s="1">
        <f t="shared" si="3"/>
        <v>-113.55894343123236</v>
      </c>
    </row>
    <row r="82" spans="2:11" x14ac:dyDescent="0.25">
      <c r="B82" s="1">
        <f t="shared" si="1"/>
        <v>0</v>
      </c>
      <c r="C82" s="1">
        <f t="shared" si="1"/>
        <v>0</v>
      </c>
      <c r="D82" s="1">
        <f t="shared" si="1"/>
        <v>144.87926007541591</v>
      </c>
      <c r="I82" s="1">
        <f t="shared" si="0"/>
        <v>-286.32559027911753</v>
      </c>
      <c r="J82" s="1">
        <f t="shared" si="2"/>
        <v>-282.7799211763944</v>
      </c>
      <c r="K82" s="1">
        <f t="shared" si="3"/>
        <v>-124.81103831054679</v>
      </c>
    </row>
  </sheetData>
  <mergeCells count="3">
    <mergeCell ref="J1:K1"/>
    <mergeCell ref="M1:N1"/>
    <mergeCell ref="P1:Q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BACD-11F6-488F-9A86-8A535AF4E0A6}">
  <dimension ref="A1:AJ43"/>
  <sheetViews>
    <sheetView topLeftCell="J4" workbookViewId="0">
      <selection activeCell="L29" sqref="L29"/>
    </sheetView>
  </sheetViews>
  <sheetFormatPr defaultRowHeight="15.75" x14ac:dyDescent="0.25"/>
  <cols>
    <col min="10" max="10" width="11" bestFit="1" customWidth="1"/>
    <col min="15" max="15" width="10.5" bestFit="1" customWidth="1"/>
  </cols>
  <sheetData>
    <row r="1" spans="1:36" x14ac:dyDescent="0.25">
      <c r="B1" s="18"/>
    </row>
    <row r="2" spans="1:36" x14ac:dyDescent="0.25">
      <c r="B2" s="18"/>
    </row>
    <row r="3" spans="1:36" x14ac:dyDescent="0.25">
      <c r="B3" s="18"/>
    </row>
    <row r="4" spans="1:36" x14ac:dyDescent="0.25">
      <c r="B4" s="18"/>
    </row>
    <row r="5" spans="1:36" x14ac:dyDescent="0.25">
      <c r="A5">
        <v>1</v>
      </c>
      <c r="B5" s="1">
        <v>153733</v>
      </c>
      <c r="C5">
        <f>(A5-0.5)/38</f>
        <v>1.3157894736842105E-2</v>
      </c>
      <c r="D5">
        <f>_xlfn.NORM.S.INV(C5)</f>
        <v>-2.2215195883378365</v>
      </c>
    </row>
    <row r="6" spans="1:36" ht="34.5" x14ac:dyDescent="0.25">
      <c r="A6">
        <v>2</v>
      </c>
      <c r="B6" s="1">
        <v>200846</v>
      </c>
      <c r="C6">
        <f t="shared" ref="C6:C42" si="0">(A6-0.5)/38</f>
        <v>3.9473684210526314E-2</v>
      </c>
      <c r="D6">
        <f t="shared" ref="D6:D42" si="1">_xlfn.NORM.S.INV(C6)</f>
        <v>-1.7568266072519048</v>
      </c>
      <c r="G6">
        <f>AVERAGE(B5:B42)</f>
        <v>98221.447368421053</v>
      </c>
      <c r="J6" s="4" t="s">
        <v>86</v>
      </c>
      <c r="K6" t="s">
        <v>87</v>
      </c>
      <c r="L6" t="s">
        <v>88</v>
      </c>
      <c r="M6" t="s">
        <v>89</v>
      </c>
      <c r="N6">
        <v>0.12</v>
      </c>
      <c r="O6" t="s">
        <v>90</v>
      </c>
      <c r="P6" t="s">
        <v>91</v>
      </c>
      <c r="Q6">
        <v>0.05</v>
      </c>
      <c r="R6" t="s">
        <v>90</v>
      </c>
      <c r="S6" t="s">
        <v>91</v>
      </c>
      <c r="T6">
        <v>7.0000000000000007E-2</v>
      </c>
      <c r="U6" t="s">
        <v>90</v>
      </c>
      <c r="V6" t="s">
        <v>92</v>
      </c>
      <c r="W6" t="s">
        <v>93</v>
      </c>
      <c r="X6" t="s">
        <v>92</v>
      </c>
      <c r="Y6">
        <v>0.1</v>
      </c>
      <c r="Z6" t="s">
        <v>90</v>
      </c>
      <c r="AA6" t="s">
        <v>93</v>
      </c>
      <c r="AB6" t="s">
        <v>94</v>
      </c>
      <c r="AC6">
        <v>0.05</v>
      </c>
      <c r="AD6" t="s">
        <v>90</v>
      </c>
      <c r="AE6" t="s">
        <v>86</v>
      </c>
      <c r="AF6">
        <v>0.1</v>
      </c>
      <c r="AG6" t="s">
        <v>90</v>
      </c>
      <c r="AH6" t="s">
        <v>86</v>
      </c>
      <c r="AI6" t="s">
        <v>94</v>
      </c>
      <c r="AJ6">
        <v>0.15</v>
      </c>
    </row>
    <row r="7" spans="1:36" ht="34.5" x14ac:dyDescent="0.25">
      <c r="A7">
        <v>3</v>
      </c>
      <c r="B7" s="1">
        <v>115185</v>
      </c>
      <c r="C7">
        <f t="shared" si="0"/>
        <v>6.5789473684210523E-2</v>
      </c>
      <c r="D7">
        <f t="shared" si="1"/>
        <v>-1.5079045914405589</v>
      </c>
      <c r="G7">
        <f>AVERAGE(D5:D42)</f>
        <v>0</v>
      </c>
      <c r="I7">
        <v>1</v>
      </c>
      <c r="J7" s="5">
        <v>0.15</v>
      </c>
      <c r="K7">
        <f>(I7-0.5)/21</f>
        <v>2.3809523809523808E-2</v>
      </c>
      <c r="L7">
        <f>_xlfn.NORM.S.INV(K7)</f>
        <v>-1.9807523966472786</v>
      </c>
      <c r="O7">
        <f>J7-$N$8</f>
        <v>6.2857142857142848E-2</v>
      </c>
    </row>
    <row r="8" spans="1:36" x14ac:dyDescent="0.25">
      <c r="A8">
        <v>4</v>
      </c>
      <c r="B8" s="1">
        <v>93980</v>
      </c>
      <c r="C8">
        <f t="shared" si="0"/>
        <v>9.2105263157894732E-2</v>
      </c>
      <c r="D8">
        <f t="shared" si="1"/>
        <v>-1.3279018717558333</v>
      </c>
      <c r="I8">
        <v>2</v>
      </c>
      <c r="J8" s="6">
        <v>0.09</v>
      </c>
      <c r="K8">
        <f t="shared" ref="K8:K27" si="2">(I8-0.5)/21</f>
        <v>7.1428571428571425E-2</v>
      </c>
      <c r="L8">
        <f t="shared" ref="L8:L27" si="3">_xlfn.NORM.S.INV(K8)</f>
        <v>-1.4652337926855223</v>
      </c>
      <c r="N8" s="6">
        <f>AVERAGE(J7:J28)</f>
        <v>8.7142857142857147E-2</v>
      </c>
      <c r="O8">
        <f t="shared" ref="O8:O27" si="4">J8-$N$8</f>
        <v>2.8571428571428498E-3</v>
      </c>
    </row>
    <row r="9" spans="1:36" x14ac:dyDescent="0.25">
      <c r="A9">
        <v>5</v>
      </c>
      <c r="B9" s="1">
        <v>68021</v>
      </c>
      <c r="C9">
        <f t="shared" si="0"/>
        <v>0.11842105263157894</v>
      </c>
      <c r="D9">
        <f t="shared" si="1"/>
        <v>-1.1829168441908862</v>
      </c>
      <c r="I9">
        <v>3</v>
      </c>
      <c r="J9" s="6">
        <v>0.18</v>
      </c>
      <c r="K9">
        <f t="shared" si="2"/>
        <v>0.11904761904761904</v>
      </c>
      <c r="L9">
        <f t="shared" si="3"/>
        <v>-1.179761117611861</v>
      </c>
      <c r="N9">
        <f>AVERAGE(L7:L32)</f>
        <v>-5.0464682937507114E-17</v>
      </c>
      <c r="O9">
        <f t="shared" si="4"/>
        <v>9.2857142857142846E-2</v>
      </c>
    </row>
    <row r="10" spans="1:36" x14ac:dyDescent="0.25">
      <c r="A10">
        <v>6</v>
      </c>
      <c r="B10" s="1">
        <v>118773</v>
      </c>
      <c r="C10">
        <f t="shared" si="0"/>
        <v>0.14473684210526316</v>
      </c>
      <c r="D10">
        <f t="shared" si="1"/>
        <v>-1.0592769170824312</v>
      </c>
      <c r="I10">
        <v>4</v>
      </c>
      <c r="J10" s="6">
        <v>0.05</v>
      </c>
      <c r="K10">
        <f t="shared" si="2"/>
        <v>0.16666666666666666</v>
      </c>
      <c r="L10">
        <f t="shared" si="3"/>
        <v>-0.96742156610170071</v>
      </c>
      <c r="O10">
        <f t="shared" si="4"/>
        <v>-3.7142857142857144E-2</v>
      </c>
    </row>
    <row r="11" spans="1:36" x14ac:dyDescent="0.25">
      <c r="A11">
        <v>7</v>
      </c>
      <c r="B11" s="1">
        <v>52418</v>
      </c>
      <c r="C11">
        <f t="shared" si="0"/>
        <v>0.17105263157894737</v>
      </c>
      <c r="D11">
        <f t="shared" si="1"/>
        <v>-0.95001375566931956</v>
      </c>
      <c r="I11">
        <v>5</v>
      </c>
      <c r="J11" s="6">
        <v>0.12</v>
      </c>
      <c r="K11">
        <f t="shared" si="2"/>
        <v>0.21428571428571427</v>
      </c>
      <c r="L11">
        <f t="shared" si="3"/>
        <v>-0.79163860774337469</v>
      </c>
      <c r="O11">
        <f t="shared" si="4"/>
        <v>3.2857142857142849E-2</v>
      </c>
    </row>
    <row r="12" spans="1:36" x14ac:dyDescent="0.25">
      <c r="A12">
        <v>8</v>
      </c>
      <c r="B12" s="1">
        <v>105734</v>
      </c>
      <c r="C12">
        <f t="shared" si="0"/>
        <v>0.19736842105263158</v>
      </c>
      <c r="D12">
        <f t="shared" si="1"/>
        <v>-0.85105852683856875</v>
      </c>
      <c r="I12">
        <v>6</v>
      </c>
      <c r="J12" s="6">
        <v>0.08</v>
      </c>
      <c r="K12">
        <f t="shared" si="2"/>
        <v>0.26190476190476192</v>
      </c>
      <c r="L12">
        <f t="shared" si="3"/>
        <v>-0.63748416096237714</v>
      </c>
      <c r="O12">
        <f t="shared" si="4"/>
        <v>-7.1428571428571452E-3</v>
      </c>
    </row>
    <row r="13" spans="1:36" x14ac:dyDescent="0.25">
      <c r="A13">
        <v>9</v>
      </c>
      <c r="B13" s="1">
        <v>31366</v>
      </c>
      <c r="C13">
        <f t="shared" si="0"/>
        <v>0.22368421052631579</v>
      </c>
      <c r="D13">
        <f t="shared" si="1"/>
        <v>-0.75980957100991864</v>
      </c>
      <c r="I13">
        <v>7</v>
      </c>
      <c r="J13" s="6">
        <v>0.05</v>
      </c>
      <c r="K13">
        <f t="shared" si="2"/>
        <v>0.30952380952380953</v>
      </c>
      <c r="L13">
        <f t="shared" si="3"/>
        <v>-0.4972005706815541</v>
      </c>
      <c r="O13">
        <f t="shared" si="4"/>
        <v>-3.7142857142857144E-2</v>
      </c>
    </row>
    <row r="14" spans="1:36" x14ac:dyDescent="0.25">
      <c r="A14">
        <v>10</v>
      </c>
      <c r="B14" s="1">
        <v>39038</v>
      </c>
      <c r="C14">
        <f t="shared" si="0"/>
        <v>0.25</v>
      </c>
      <c r="D14">
        <f t="shared" si="1"/>
        <v>-0.67448975019608193</v>
      </c>
      <c r="I14">
        <v>8</v>
      </c>
      <c r="J14" s="6">
        <v>0.08</v>
      </c>
      <c r="K14">
        <f t="shared" si="2"/>
        <v>0.35714285714285715</v>
      </c>
      <c r="L14">
        <f t="shared" si="3"/>
        <v>-0.36610635680056969</v>
      </c>
      <c r="O14">
        <f t="shared" si="4"/>
        <v>-7.1428571428571452E-3</v>
      </c>
    </row>
    <row r="15" spans="1:36" x14ac:dyDescent="0.25">
      <c r="A15">
        <v>11</v>
      </c>
      <c r="B15" s="1">
        <v>241855</v>
      </c>
      <c r="C15">
        <f t="shared" si="0"/>
        <v>0.27631578947368424</v>
      </c>
      <c r="D15">
        <f t="shared" si="1"/>
        <v>-0.59382139299351966</v>
      </c>
      <c r="I15">
        <v>9</v>
      </c>
      <c r="J15" s="6">
        <v>7.0000000000000007E-2</v>
      </c>
      <c r="K15">
        <f t="shared" si="2"/>
        <v>0.40476190476190477</v>
      </c>
      <c r="L15">
        <f t="shared" si="3"/>
        <v>-0.24104039388602685</v>
      </c>
      <c r="O15">
        <f t="shared" si="4"/>
        <v>-1.714285714285714E-2</v>
      </c>
    </row>
    <row r="16" spans="1:36" x14ac:dyDescent="0.25">
      <c r="A16">
        <v>12</v>
      </c>
      <c r="B16" s="1">
        <v>327676</v>
      </c>
      <c r="C16">
        <f t="shared" si="0"/>
        <v>0.30263157894736842</v>
      </c>
      <c r="D16">
        <f t="shared" si="1"/>
        <v>-0.51684672765260964</v>
      </c>
      <c r="I16">
        <v>10</v>
      </c>
      <c r="J16" s="6">
        <v>0.02</v>
      </c>
      <c r="K16">
        <f t="shared" si="2"/>
        <v>0.45238095238095238</v>
      </c>
      <c r="L16">
        <f t="shared" si="3"/>
        <v>-0.11964811303984205</v>
      </c>
      <c r="O16">
        <f t="shared" si="4"/>
        <v>-6.7142857142857143E-2</v>
      </c>
    </row>
    <row r="17" spans="1:15" x14ac:dyDescent="0.25">
      <c r="A17">
        <v>13</v>
      </c>
      <c r="B17" s="1">
        <v>336097</v>
      </c>
      <c r="C17">
        <f t="shared" si="0"/>
        <v>0.32894736842105265</v>
      </c>
      <c r="D17">
        <f t="shared" si="1"/>
        <v>-0.44282165759651121</v>
      </c>
      <c r="I17">
        <v>11</v>
      </c>
      <c r="J17" s="6">
        <v>0.01</v>
      </c>
      <c r="K17">
        <f t="shared" si="2"/>
        <v>0.5</v>
      </c>
      <c r="L17">
        <f t="shared" si="3"/>
        <v>0</v>
      </c>
      <c r="O17">
        <f t="shared" si="4"/>
        <v>-7.7142857142857152E-2</v>
      </c>
    </row>
    <row r="18" spans="1:15" x14ac:dyDescent="0.25">
      <c r="A18">
        <v>14</v>
      </c>
      <c r="B18" s="1">
        <v>65117</v>
      </c>
      <c r="C18">
        <f t="shared" si="0"/>
        <v>0.35526315789473684</v>
      </c>
      <c r="D18">
        <f t="shared" si="1"/>
        <v>-0.37114932320228394</v>
      </c>
      <c r="I18">
        <v>12</v>
      </c>
      <c r="J18" s="6">
        <v>0.02</v>
      </c>
      <c r="K18">
        <f t="shared" si="2"/>
        <v>0.54761904761904767</v>
      </c>
      <c r="L18">
        <f t="shared" si="3"/>
        <v>0.11964811303984216</v>
      </c>
      <c r="O18">
        <f t="shared" si="4"/>
        <v>-6.7142857142857143E-2</v>
      </c>
    </row>
    <row r="19" spans="1:15" x14ac:dyDescent="0.25">
      <c r="A19">
        <v>15</v>
      </c>
      <c r="B19" s="1">
        <v>363512</v>
      </c>
      <c r="C19">
        <f t="shared" si="0"/>
        <v>0.38157894736842107</v>
      </c>
      <c r="D19">
        <f t="shared" si="1"/>
        <v>-0.30133652085957613</v>
      </c>
      <c r="I19">
        <v>13</v>
      </c>
      <c r="J19" s="6">
        <v>0.1</v>
      </c>
      <c r="K19">
        <f t="shared" si="2"/>
        <v>0.59523809523809523</v>
      </c>
      <c r="L19">
        <f t="shared" si="3"/>
        <v>0.24104039388602685</v>
      </c>
      <c r="O19">
        <f t="shared" si="4"/>
        <v>1.2857142857142859E-2</v>
      </c>
    </row>
    <row r="20" spans="1:15" x14ac:dyDescent="0.25">
      <c r="A20">
        <v>16</v>
      </c>
      <c r="B20" s="1">
        <v>85161</v>
      </c>
      <c r="C20">
        <f t="shared" si="0"/>
        <v>0.40789473684210525</v>
      </c>
      <c r="D20">
        <f t="shared" si="1"/>
        <v>-0.23296385427137245</v>
      </c>
      <c r="I20">
        <v>14</v>
      </c>
      <c r="J20" s="6">
        <v>0.01</v>
      </c>
      <c r="K20">
        <f t="shared" si="2"/>
        <v>0.6428571428571429</v>
      </c>
      <c r="L20">
        <f t="shared" si="3"/>
        <v>0.3661063568005698</v>
      </c>
      <c r="O20">
        <f t="shared" si="4"/>
        <v>-7.7142857142857152E-2</v>
      </c>
    </row>
    <row r="21" spans="1:15" x14ac:dyDescent="0.25">
      <c r="A21">
        <v>17</v>
      </c>
      <c r="B21" s="1">
        <v>73166</v>
      </c>
      <c r="C21">
        <f t="shared" si="0"/>
        <v>0.43421052631578949</v>
      </c>
      <c r="D21">
        <f t="shared" si="1"/>
        <v>-0.1656644138685531</v>
      </c>
      <c r="I21">
        <v>15</v>
      </c>
      <c r="J21" s="6">
        <v>0.1</v>
      </c>
      <c r="K21">
        <f t="shared" si="2"/>
        <v>0.69047619047619047</v>
      </c>
      <c r="L21">
        <f t="shared" si="3"/>
        <v>0.4972005706815541</v>
      </c>
      <c r="O21">
        <f t="shared" si="4"/>
        <v>1.2857142857142859E-2</v>
      </c>
    </row>
    <row r="22" spans="1:15" x14ac:dyDescent="0.25">
      <c r="A22">
        <v>18</v>
      </c>
      <c r="B22" s="1">
        <v>80890</v>
      </c>
      <c r="C22">
        <f t="shared" si="0"/>
        <v>0.46052631578947367</v>
      </c>
      <c r="D22">
        <f t="shared" si="1"/>
        <v>-9.9107859822899172E-2</v>
      </c>
      <c r="I22">
        <v>16</v>
      </c>
      <c r="J22" s="6">
        <v>0.05</v>
      </c>
      <c r="K22">
        <f t="shared" si="2"/>
        <v>0.73809523809523814</v>
      </c>
      <c r="L22">
        <f t="shared" si="3"/>
        <v>0.63748416096237714</v>
      </c>
      <c r="O22">
        <f t="shared" si="4"/>
        <v>-3.7142857142857144E-2</v>
      </c>
    </row>
    <row r="23" spans="1:15" x14ac:dyDescent="0.25">
      <c r="A23">
        <v>19</v>
      </c>
      <c r="B23" s="1">
        <v>113014</v>
      </c>
      <c r="C23">
        <f t="shared" si="0"/>
        <v>0.48684210526315791</v>
      </c>
      <c r="D23">
        <f t="shared" si="1"/>
        <v>-3.2987932937402764E-2</v>
      </c>
      <c r="I23">
        <v>17</v>
      </c>
      <c r="J23" s="6">
        <v>0.15</v>
      </c>
      <c r="K23">
        <f t="shared" si="2"/>
        <v>0.7857142857142857</v>
      </c>
      <c r="L23">
        <f t="shared" si="3"/>
        <v>0.79163860774337469</v>
      </c>
      <c r="O23">
        <f t="shared" si="4"/>
        <v>6.2857142857142848E-2</v>
      </c>
    </row>
    <row r="24" spans="1:15" x14ac:dyDescent="0.25">
      <c r="A24">
        <v>20</v>
      </c>
      <c r="B24" s="1">
        <v>80898</v>
      </c>
      <c r="C24">
        <f t="shared" si="0"/>
        <v>0.51315789473684215</v>
      </c>
      <c r="D24">
        <f t="shared" si="1"/>
        <v>3.2987932937402903E-2</v>
      </c>
      <c r="I24">
        <v>18</v>
      </c>
      <c r="J24" s="6">
        <v>0.1</v>
      </c>
      <c r="K24">
        <f t="shared" si="2"/>
        <v>0.83333333333333337</v>
      </c>
      <c r="L24">
        <f t="shared" si="3"/>
        <v>0.96742156610170071</v>
      </c>
      <c r="O24">
        <f t="shared" si="4"/>
        <v>1.2857142857142859E-2</v>
      </c>
    </row>
    <row r="25" spans="1:15" x14ac:dyDescent="0.25">
      <c r="A25">
        <v>21</v>
      </c>
      <c r="B25" s="1">
        <v>69775</v>
      </c>
      <c r="C25">
        <f t="shared" si="0"/>
        <v>0.53947368421052633</v>
      </c>
      <c r="D25">
        <f t="shared" si="1"/>
        <v>9.9107859822899172E-2</v>
      </c>
      <c r="I25">
        <v>19</v>
      </c>
      <c r="J25" s="6">
        <v>0.15</v>
      </c>
      <c r="K25">
        <f t="shared" si="2"/>
        <v>0.88095238095238093</v>
      </c>
      <c r="L25">
        <f t="shared" si="3"/>
        <v>1.179761117611861</v>
      </c>
      <c r="O25">
        <f t="shared" si="4"/>
        <v>6.2857142857142848E-2</v>
      </c>
    </row>
    <row r="26" spans="1:15" x14ac:dyDescent="0.25">
      <c r="A26">
        <v>22</v>
      </c>
      <c r="B26" s="1">
        <v>81306</v>
      </c>
      <c r="C26">
        <f t="shared" si="0"/>
        <v>0.56578947368421051</v>
      </c>
      <c r="D26">
        <f t="shared" si="1"/>
        <v>0.1656644138685531</v>
      </c>
      <c r="I26">
        <v>20</v>
      </c>
      <c r="J26" s="6">
        <v>0.1</v>
      </c>
      <c r="K26">
        <f t="shared" si="2"/>
        <v>0.9285714285714286</v>
      </c>
      <c r="L26">
        <f t="shared" si="3"/>
        <v>1.4652337926855228</v>
      </c>
      <c r="O26">
        <f t="shared" si="4"/>
        <v>1.2857142857142859E-2</v>
      </c>
    </row>
    <row r="27" spans="1:15" x14ac:dyDescent="0.25">
      <c r="A27">
        <v>23</v>
      </c>
      <c r="B27" s="1">
        <v>72301</v>
      </c>
      <c r="C27">
        <f t="shared" si="0"/>
        <v>0.59210526315789469</v>
      </c>
      <c r="D27">
        <f t="shared" si="1"/>
        <v>0.23296385427137234</v>
      </c>
      <c r="I27">
        <v>21</v>
      </c>
      <c r="J27" s="6">
        <v>0.15</v>
      </c>
      <c r="K27">
        <f t="shared" si="2"/>
        <v>0.97619047619047616</v>
      </c>
      <c r="L27">
        <f t="shared" si="3"/>
        <v>1.9807523966472784</v>
      </c>
      <c r="O27">
        <f t="shared" si="4"/>
        <v>6.2857142857142848E-2</v>
      </c>
    </row>
    <row r="28" spans="1:15" x14ac:dyDescent="0.25">
      <c r="A28">
        <v>24</v>
      </c>
      <c r="B28" s="1">
        <v>22187</v>
      </c>
      <c r="C28">
        <f t="shared" si="0"/>
        <v>0.61842105263157898</v>
      </c>
      <c r="D28">
        <f t="shared" si="1"/>
        <v>0.3013365208595763</v>
      </c>
      <c r="J28" s="6"/>
      <c r="L28">
        <f>SUM(L7:L27)</f>
        <v>0</v>
      </c>
      <c r="O28">
        <f>SUM(O7:O27)</f>
        <v>-1.2490009027033011E-16</v>
      </c>
    </row>
    <row r="29" spans="1:15" x14ac:dyDescent="0.25">
      <c r="A29">
        <v>25</v>
      </c>
      <c r="B29" s="1">
        <v>68313</v>
      </c>
      <c r="C29">
        <f t="shared" si="0"/>
        <v>0.64473684210526316</v>
      </c>
      <c r="D29">
        <f t="shared" si="1"/>
        <v>0.37114932320228394</v>
      </c>
      <c r="J29" s="6"/>
    </row>
    <row r="30" spans="1:15" x14ac:dyDescent="0.25">
      <c r="A30">
        <v>26</v>
      </c>
      <c r="B30" s="1">
        <v>81192</v>
      </c>
      <c r="C30">
        <f t="shared" si="0"/>
        <v>0.67105263157894735</v>
      </c>
      <c r="D30">
        <f t="shared" si="1"/>
        <v>0.44282165759651121</v>
      </c>
      <c r="J30" s="6"/>
    </row>
    <row r="31" spans="1:15" x14ac:dyDescent="0.25">
      <c r="A31">
        <v>27</v>
      </c>
      <c r="B31" s="1">
        <v>178741</v>
      </c>
      <c r="C31">
        <f t="shared" si="0"/>
        <v>0.69736842105263153</v>
      </c>
      <c r="D31">
        <f t="shared" si="1"/>
        <v>0.51684672765260953</v>
      </c>
      <c r="J31" s="6"/>
    </row>
    <row r="32" spans="1:15" x14ac:dyDescent="0.25">
      <c r="A32">
        <v>28</v>
      </c>
      <c r="B32" s="1">
        <v>80337</v>
      </c>
      <c r="C32">
        <f t="shared" si="0"/>
        <v>0.72368421052631582</v>
      </c>
      <c r="D32">
        <f t="shared" si="1"/>
        <v>0.59382139299351988</v>
      </c>
      <c r="J32" s="6"/>
    </row>
    <row r="33" spans="1:4" x14ac:dyDescent="0.25">
      <c r="A33">
        <v>29</v>
      </c>
      <c r="B33" s="1">
        <v>32725</v>
      </c>
      <c r="C33">
        <f t="shared" si="0"/>
        <v>0.75</v>
      </c>
      <c r="D33">
        <f t="shared" si="1"/>
        <v>0.67448975019608193</v>
      </c>
    </row>
    <row r="34" spans="1:4" x14ac:dyDescent="0.25">
      <c r="A34">
        <v>30</v>
      </c>
      <c r="B34" s="1">
        <v>34944</v>
      </c>
      <c r="C34">
        <f t="shared" si="0"/>
        <v>0.77631578947368418</v>
      </c>
      <c r="D34">
        <f t="shared" si="1"/>
        <v>0.75980957100991864</v>
      </c>
    </row>
    <row r="35" spans="1:4" x14ac:dyDescent="0.25">
      <c r="A35">
        <v>31</v>
      </c>
      <c r="B35" s="1">
        <v>62798</v>
      </c>
      <c r="C35">
        <f t="shared" si="0"/>
        <v>0.80263157894736847</v>
      </c>
      <c r="D35">
        <f t="shared" si="1"/>
        <v>0.85105852683856942</v>
      </c>
    </row>
    <row r="36" spans="1:4" x14ac:dyDescent="0.25">
      <c r="A36">
        <v>32</v>
      </c>
      <c r="B36" s="1">
        <v>46255</v>
      </c>
      <c r="C36">
        <f t="shared" si="0"/>
        <v>0.82894736842105265</v>
      </c>
      <c r="D36">
        <f t="shared" si="1"/>
        <v>0.95001375566931956</v>
      </c>
    </row>
    <row r="37" spans="1:4" x14ac:dyDescent="0.25">
      <c r="A37">
        <v>33</v>
      </c>
      <c r="B37" s="1">
        <v>27529</v>
      </c>
      <c r="C37">
        <f t="shared" si="0"/>
        <v>0.85526315789473684</v>
      </c>
      <c r="D37">
        <f t="shared" si="1"/>
        <v>1.0592769170824312</v>
      </c>
    </row>
    <row r="38" spans="1:4" x14ac:dyDescent="0.25">
      <c r="A38">
        <v>34</v>
      </c>
      <c r="B38" s="1">
        <v>20820</v>
      </c>
      <c r="C38">
        <f t="shared" si="0"/>
        <v>0.88157894736842102</v>
      </c>
      <c r="D38">
        <f t="shared" si="1"/>
        <v>1.1829168441908862</v>
      </c>
    </row>
    <row r="39" spans="1:4" x14ac:dyDescent="0.25">
      <c r="A39">
        <v>35</v>
      </c>
      <c r="B39" s="1">
        <v>45010</v>
      </c>
      <c r="C39">
        <f t="shared" si="0"/>
        <v>0.90789473684210531</v>
      </c>
      <c r="D39">
        <f t="shared" si="1"/>
        <v>1.3279018717558344</v>
      </c>
    </row>
    <row r="40" spans="1:4" x14ac:dyDescent="0.25">
      <c r="A40">
        <v>36</v>
      </c>
      <c r="B40" s="1">
        <v>16335</v>
      </c>
      <c r="C40">
        <f t="shared" si="0"/>
        <v>0.93421052631578949</v>
      </c>
      <c r="D40">
        <f t="shared" si="1"/>
        <v>1.5079045914405591</v>
      </c>
    </row>
    <row r="41" spans="1:4" x14ac:dyDescent="0.25">
      <c r="A41">
        <v>37</v>
      </c>
      <c r="B41" s="1">
        <v>24377</v>
      </c>
      <c r="C41">
        <f t="shared" si="0"/>
        <v>0.96052631578947367</v>
      </c>
      <c r="D41">
        <f t="shared" si="1"/>
        <v>1.7568266072519048</v>
      </c>
    </row>
    <row r="42" spans="1:4" x14ac:dyDescent="0.25">
      <c r="A42">
        <v>38</v>
      </c>
      <c r="B42" s="1">
        <v>20990</v>
      </c>
      <c r="C42">
        <f t="shared" si="0"/>
        <v>0.98684210526315785</v>
      </c>
      <c r="D42">
        <f t="shared" si="1"/>
        <v>2.2215195883378365</v>
      </c>
    </row>
    <row r="43" spans="1:4" x14ac:dyDescent="0.25">
      <c r="B43" s="1"/>
    </row>
  </sheetData>
  <mergeCells count="1">
    <mergeCell ref="B1: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provinsi</vt:lpstr>
      <vt:lpstr>Sheet1</vt:lpstr>
      <vt:lpstr>Sheet3</vt:lpstr>
      <vt:lpstr>Sheet2</vt:lpstr>
      <vt:lpstr>provinsi!Print_Area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BPS-B</dc:creator>
  <cp:lastModifiedBy>Yudha</cp:lastModifiedBy>
  <cp:lastPrinted>2016-03-24T02:54:17Z</cp:lastPrinted>
  <dcterms:created xsi:type="dcterms:W3CDTF">2009-06-24T02:37:23Z</dcterms:created>
  <dcterms:modified xsi:type="dcterms:W3CDTF">2024-06-10T12:53:02Z</dcterms:modified>
</cp:coreProperties>
</file>