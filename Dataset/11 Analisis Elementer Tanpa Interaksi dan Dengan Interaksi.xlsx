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npad\Semester 4\ASLAB ADE\"/>
    </mc:Choice>
  </mc:AlternateContent>
  <xr:revisionPtr revIDLastSave="0" documentId="13_ncr:1_{7CECE25A-DA08-46CD-B1B7-BDBC78C589D5}" xr6:coauthVersionLast="47" xr6:coauthVersionMax="47" xr10:uidLastSave="{00000000-0000-0000-0000-000000000000}"/>
  <bookViews>
    <workbookView xWindow="-90" yWindow="0" windowWidth="9780" windowHeight="10170" xr2:uid="{A87C0EC6-E0F4-4378-AA91-606D996D19DB}"/>
  </bookViews>
  <sheets>
    <sheet name="Calcula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3" i="4" l="1"/>
  <c r="C60" i="4"/>
  <c r="C59" i="4"/>
  <c r="E86" i="4"/>
  <c r="I87" i="4" l="1"/>
  <c r="I84" i="4"/>
  <c r="I85" i="4"/>
  <c r="I86" i="4"/>
  <c r="G84" i="4"/>
  <c r="G85" i="4"/>
  <c r="G87" i="4" s="1"/>
  <c r="G86" i="4"/>
  <c r="E84" i="4"/>
  <c r="E85" i="4"/>
  <c r="I83" i="4"/>
  <c r="G83" i="4"/>
  <c r="E83" i="4"/>
  <c r="E87" i="4" s="1"/>
  <c r="D42" i="4"/>
  <c r="D41" i="4"/>
  <c r="S90" i="4" s="1"/>
  <c r="D40" i="4"/>
  <c r="S89" i="4" s="1"/>
  <c r="B10" i="4"/>
  <c r="C10" i="4"/>
  <c r="D10" i="4"/>
  <c r="E10" i="4"/>
  <c r="B11" i="4"/>
  <c r="C11" i="4"/>
  <c r="D11" i="4"/>
  <c r="E11" i="4"/>
  <c r="C9" i="4"/>
  <c r="D9" i="4"/>
  <c r="E9" i="4"/>
  <c r="B9" i="4"/>
  <c r="D43" i="4" l="1"/>
  <c r="S92" i="4" s="1"/>
  <c r="F9" i="4"/>
  <c r="S91" i="4"/>
  <c r="E12" i="4"/>
  <c r="C12" i="4"/>
  <c r="G11" i="4"/>
  <c r="F10" i="4"/>
  <c r="B12" i="4"/>
  <c r="G9" i="4"/>
  <c r="E13" i="4"/>
  <c r="B13" i="4"/>
  <c r="D13" i="4"/>
  <c r="F11" i="4"/>
  <c r="D12" i="4"/>
  <c r="G10" i="4"/>
  <c r="C13" i="4"/>
  <c r="G13" i="4" l="1"/>
  <c r="C14" i="4" s="1"/>
  <c r="F12" i="4"/>
  <c r="H11" i="4" l="1"/>
  <c r="H9" i="4"/>
  <c r="C49" i="4" s="1"/>
  <c r="H10" i="4"/>
  <c r="C50" i="4" s="1"/>
  <c r="E14" i="4"/>
  <c r="E51" i="4" s="1"/>
  <c r="C67" i="4" s="1"/>
  <c r="C51" i="4"/>
  <c r="C61" i="4" s="1"/>
  <c r="E49" i="4"/>
  <c r="C65" i="4" s="1"/>
  <c r="D50" i="4"/>
  <c r="C63" i="4" s="1"/>
  <c r="C20" i="4"/>
  <c r="E20" i="4"/>
  <c r="E27" i="4" s="1"/>
  <c r="E34" i="4" s="1"/>
  <c r="D66" i="4" s="1"/>
  <c r="C82" i="4" s="1"/>
  <c r="D19" i="4"/>
  <c r="B19" i="4"/>
  <c r="D20" i="4"/>
  <c r="E21" i="4"/>
  <c r="E28" i="4" s="1"/>
  <c r="E19" i="4"/>
  <c r="E26" i="4" s="1"/>
  <c r="E33" i="4" s="1"/>
  <c r="D65" i="4" s="1"/>
  <c r="C85" i="4" s="1"/>
  <c r="C19" i="4"/>
  <c r="C26" i="4" s="1"/>
  <c r="C33" i="4" s="1"/>
  <c r="D59" i="4" s="1"/>
  <c r="C90" i="4" s="1"/>
  <c r="D21" i="4"/>
  <c r="D28" i="4" s="1"/>
  <c r="B21" i="4"/>
  <c r="B28" i="4" s="1"/>
  <c r="B20" i="4"/>
  <c r="B27" i="4" s="1"/>
  <c r="C21" i="4"/>
  <c r="C28" i="4" s="1"/>
  <c r="C35" i="4" s="1"/>
  <c r="D61" i="4" s="1"/>
  <c r="C83" i="4" s="1"/>
  <c r="B14" i="4"/>
  <c r="B51" i="4" s="1"/>
  <c r="C58" i="4" s="1"/>
  <c r="D14" i="4"/>
  <c r="D26" i="4" l="1"/>
  <c r="D33" i="4" s="1"/>
  <c r="D62" i="4" s="1"/>
  <c r="C89" i="4" s="1"/>
  <c r="C27" i="4"/>
  <c r="C34" i="4" s="1"/>
  <c r="D60" i="4" s="1"/>
  <c r="C92" i="4" s="1"/>
  <c r="E50" i="4"/>
  <c r="C66" i="4" s="1"/>
  <c r="D49" i="4"/>
  <c r="C62" i="4" s="1"/>
  <c r="E35" i="4"/>
  <c r="D67" i="4" s="1"/>
  <c r="C93" i="4" s="1"/>
  <c r="M93" i="4" s="1"/>
  <c r="H86" i="4"/>
  <c r="M89" i="4"/>
  <c r="D51" i="4"/>
  <c r="C64" i="4" s="1"/>
  <c r="F83" i="4"/>
  <c r="M82" i="4"/>
  <c r="F84" i="4"/>
  <c r="J83" i="4"/>
  <c r="M90" i="4"/>
  <c r="D35" i="4"/>
  <c r="D64" i="4" s="1"/>
  <c r="C84" i="4" s="1"/>
  <c r="J86" i="4"/>
  <c r="M92" i="4"/>
  <c r="J85" i="4"/>
  <c r="M85" i="4"/>
  <c r="F86" i="4"/>
  <c r="D27" i="4"/>
  <c r="D34" i="4" s="1"/>
  <c r="D63" i="4" s="1"/>
  <c r="C91" i="4" s="1"/>
  <c r="B26" i="4"/>
  <c r="B33" i="4" s="1"/>
  <c r="D56" i="4" s="1"/>
  <c r="C87" i="4" s="1"/>
  <c r="B34" i="4"/>
  <c r="D57" i="4" s="1"/>
  <c r="C88" i="4" s="1"/>
  <c r="B35" i="4"/>
  <c r="D58" i="4" s="1"/>
  <c r="C86" i="4" s="1"/>
  <c r="B50" i="4"/>
  <c r="C57" i="4" s="1"/>
  <c r="B49" i="4"/>
  <c r="C56" i="4" s="1"/>
  <c r="M86" i="4" l="1"/>
  <c r="H83" i="4"/>
  <c r="M84" i="4"/>
  <c r="F85" i="4"/>
  <c r="H84" i="4"/>
  <c r="M87" i="4"/>
  <c r="F87" i="4"/>
  <c r="M88" i="4"/>
  <c r="H85" i="4"/>
  <c r="J84" i="4"/>
  <c r="J87" i="4" s="1"/>
  <c r="M91" i="4"/>
  <c r="C42" i="4"/>
  <c r="C41" i="4"/>
  <c r="C40" i="4"/>
  <c r="F89" i="4" l="1"/>
  <c r="L84" i="4"/>
  <c r="N84" i="4" s="1"/>
  <c r="Q84" i="4" s="1"/>
  <c r="L89" i="4"/>
  <c r="N89" i="4" s="1"/>
  <c r="S83" i="4" s="1"/>
  <c r="L90" i="4"/>
  <c r="N90" i="4" s="1"/>
  <c r="S84" i="4" s="1"/>
  <c r="C43" i="4"/>
  <c r="C44" i="4" s="1"/>
  <c r="H87" i="4"/>
  <c r="L87" i="4" l="1"/>
  <c r="N87" i="4" s="1"/>
  <c r="R84" i="4" s="1"/>
  <c r="L82" i="4"/>
  <c r="N82" i="4" s="1"/>
  <c r="Q82" i="4" s="1"/>
  <c r="L86" i="4"/>
  <c r="N86" i="4" s="1"/>
  <c r="R83" i="4" s="1"/>
  <c r="L88" i="4"/>
  <c r="N88" i="4" s="1"/>
  <c r="S82" i="4" s="1"/>
  <c r="L91" i="4"/>
  <c r="N91" i="4" s="1"/>
  <c r="T82" i="4" s="1"/>
  <c r="L85" i="4"/>
  <c r="N85" i="4" s="1"/>
  <c r="R82" i="4" s="1"/>
  <c r="R91" i="4" s="1"/>
  <c r="L93" i="4"/>
  <c r="N93" i="4" s="1"/>
  <c r="T84" i="4" s="1"/>
  <c r="L83" i="4"/>
  <c r="N83" i="4" s="1"/>
  <c r="Q83" i="4" s="1"/>
  <c r="L92" i="4"/>
  <c r="N92" i="4" s="1"/>
  <c r="T83" i="4" s="1"/>
  <c r="R89" i="4" l="1"/>
  <c r="R92" i="4" s="1"/>
  <c r="R93" i="4" s="1"/>
  <c r="R90" i="4"/>
</calcChain>
</file>

<file path=xl/sharedStrings.xml><?xml version="1.0" encoding="utf-8"?>
<sst xmlns="http://schemas.openxmlformats.org/spreadsheetml/2006/main" count="61" uniqueCount="39">
  <si>
    <t>B</t>
  </si>
  <si>
    <t>T</t>
  </si>
  <si>
    <t>A</t>
  </si>
  <si>
    <t>X</t>
  </si>
  <si>
    <t>Y</t>
  </si>
  <si>
    <t>Variabel</t>
  </si>
  <si>
    <t>Langkah 1: Menghitung rata-rata</t>
  </si>
  <si>
    <t>Total Yi</t>
  </si>
  <si>
    <t>Yi bar</t>
  </si>
  <si>
    <t>ai</t>
  </si>
  <si>
    <t>Total Yj</t>
  </si>
  <si>
    <t>Yj bar</t>
  </si>
  <si>
    <t>bj</t>
  </si>
  <si>
    <t>Langkah 2: Yij-Ybar</t>
  </si>
  <si>
    <t>Langkah 3: Yij-Ybar-ai</t>
  </si>
  <si>
    <t>Langkah 5:  Menghitung Rasio</t>
  </si>
  <si>
    <t>Q1</t>
  </si>
  <si>
    <t>Q2</t>
  </si>
  <si>
    <t>Q3</t>
  </si>
  <si>
    <t>d</t>
  </si>
  <si>
    <t>Rasio</t>
  </si>
  <si>
    <t>Sisa</t>
  </si>
  <si>
    <t>Langkah 6:  Menghitung ai x bj</t>
  </si>
  <si>
    <t>Langkah 7: Plot antara X dan Z</t>
  </si>
  <si>
    <t>Parameter</t>
  </si>
  <si>
    <t>X(aibj)</t>
  </si>
  <si>
    <t>Z(sisa)</t>
  </si>
  <si>
    <t>Kesimpulan</t>
  </si>
  <si>
    <t>Tampak tidak ada pola tertentu yang merupakan hubungan antara X dan Z.  Oleh sebab itu tidak perlu  dibuat analisis elementer dengan interaksi</t>
  </si>
  <si>
    <t>Z</t>
  </si>
  <si>
    <t>d*(ai*bj)</t>
  </si>
  <si>
    <t>Z (sisa lama)</t>
  </si>
  <si>
    <t>Sisa baru (Z-(d*(ai*bj))</t>
  </si>
  <si>
    <t>Menghitung Rasio</t>
  </si>
  <si>
    <t>Analisis Elementer Dengan Interaksi</t>
  </si>
  <si>
    <t>Karena rasio baru lebih kecil dari rasio lama maka data tersebut ada interaksi</t>
  </si>
  <si>
    <t>Langkah 4: Yij-Ybar-ai-bj (residual/sisa)</t>
  </si>
  <si>
    <t>Melihat perbandingan nilai rasio pada analisis elementer tanpa interaksi dan dengan interaksi</t>
  </si>
  <si>
    <t>Diurutkan menurut nilai X (aibj)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</si>
</sst>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Calculation!$D$1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Calculation!$B$2:$B$13</c:f>
              <c:numCache>
                <c:formatCode>General</c:formatCode>
                <c:ptCount val="12"/>
                <c:pt idx="0">
                  <c:v>46</c:v>
                </c:pt>
                <c:pt idx="1">
                  <c:v>44.2</c:v>
                </c:pt>
                <c:pt idx="2">
                  <c:v>46</c:v>
                </c:pt>
                <c:pt idx="6">
                  <c:v>1</c:v>
                </c:pt>
                <c:pt idx="7">
                  <c:v>46</c:v>
                </c:pt>
                <c:pt idx="8">
                  <c:v>44.2</c:v>
                </c:pt>
                <c:pt idx="9">
                  <c:v>46</c:v>
                </c:pt>
                <c:pt idx="10">
                  <c:v>136.19999999999999</c:v>
                </c:pt>
                <c:pt idx="11">
                  <c:v>45.4</c:v>
                </c:pt>
              </c:numCache>
            </c:numRef>
          </c:xVal>
          <c:yVal>
            <c:numRef>
              <c:f>Calculation!$D$2:$D$13</c:f>
              <c:numCache>
                <c:formatCode>General</c:formatCode>
                <c:ptCount val="12"/>
                <c:pt idx="0">
                  <c:v>44.5</c:v>
                </c:pt>
                <c:pt idx="1">
                  <c:v>44.8</c:v>
                </c:pt>
                <c:pt idx="2">
                  <c:v>45.8</c:v>
                </c:pt>
                <c:pt idx="6">
                  <c:v>3</c:v>
                </c:pt>
                <c:pt idx="7">
                  <c:v>44.5</c:v>
                </c:pt>
                <c:pt idx="8">
                  <c:v>44.8</c:v>
                </c:pt>
                <c:pt idx="9">
                  <c:v>45.8</c:v>
                </c:pt>
                <c:pt idx="10">
                  <c:v>135.1</c:v>
                </c:pt>
                <c:pt idx="11">
                  <c:v>45.033333333333331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DC-452F-BBAE-791E14945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980176"/>
        <c:axId val="537987064"/>
      </c:scatterChart>
      <c:valAx>
        <c:axId val="53798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87064"/>
        <c:crosses val="autoZero"/>
        <c:crossBetween val="midCat"/>
      </c:valAx>
      <c:valAx>
        <c:axId val="53798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80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Calculation!$D$55</c:f>
              <c:strCache>
                <c:ptCount val="1"/>
                <c:pt idx="0">
                  <c:v>Z(sisa)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Calculation!$C$56:$C$67</c:f>
              <c:numCache>
                <c:formatCode>General</c:formatCode>
                <c:ptCount val="12"/>
                <c:pt idx="0">
                  <c:v>1.444444444444452E-2</c:v>
                </c:pt>
                <c:pt idx="1">
                  <c:v>4.1111111111110522E-2</c:v>
                </c:pt>
                <c:pt idx="2">
                  <c:v>-5.5555555555555039E-2</c:v>
                </c:pt>
                <c:pt idx="3">
                  <c:v>9.7500000000000697E-2</c:v>
                </c:pt>
                <c:pt idx="4">
                  <c:v>0.27749999999999658</c:v>
                </c:pt>
                <c:pt idx="5">
                  <c:v>-0.37499999999999728</c:v>
                </c:pt>
                <c:pt idx="6">
                  <c:v>5.416666666666714E-2</c:v>
                </c:pt>
                <c:pt idx="7">
                  <c:v>0.15416666666666501</c:v>
                </c:pt>
                <c:pt idx="8">
                  <c:v>-0.20833333333333215</c:v>
                </c:pt>
                <c:pt idx="9">
                  <c:v>-0.16611111111111235</c:v>
                </c:pt>
                <c:pt idx="10">
                  <c:v>-0.47277777777777213</c:v>
                </c:pt>
                <c:pt idx="11">
                  <c:v>0.63888888888888451</c:v>
                </c:pt>
              </c:numCache>
            </c:numRef>
          </c:xVal>
          <c:yVal>
            <c:numRef>
              <c:f>Calculation!$D$56:$D$67</c:f>
              <c:numCache>
                <c:formatCode>General</c:formatCode>
                <c:ptCount val="12"/>
                <c:pt idx="0">
                  <c:v>0.7083333333333357</c:v>
                </c:pt>
                <c:pt idx="1">
                  <c:v>-0.89166666666666572</c:v>
                </c:pt>
                <c:pt idx="2">
                  <c:v>0.18333333333333712</c:v>
                </c:pt>
                <c:pt idx="3">
                  <c:v>-0.82499999999999574</c:v>
                </c:pt>
                <c:pt idx="4">
                  <c:v>0.47499999999999432</c:v>
                </c:pt>
                <c:pt idx="5">
                  <c:v>0.35000000000000142</c:v>
                </c:pt>
                <c:pt idx="6">
                  <c:v>-0.42499999999999716</c:v>
                </c:pt>
                <c:pt idx="7">
                  <c:v>7.4999999999995737E-2</c:v>
                </c:pt>
                <c:pt idx="8">
                  <c:v>0.35000000000000142</c:v>
                </c:pt>
                <c:pt idx="9">
                  <c:v>0.5416666666666714</c:v>
                </c:pt>
                <c:pt idx="10">
                  <c:v>0.34166666666666856</c:v>
                </c:pt>
                <c:pt idx="11">
                  <c:v>-0.88333333333332575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16-4D2D-9C77-D3ACED954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562512"/>
        <c:axId val="535565464"/>
      </c:scatterChart>
      <c:valAx>
        <c:axId val="53556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65464"/>
        <c:crosses val="autoZero"/>
        <c:crossBetween val="midCat"/>
      </c:valAx>
      <c:valAx>
        <c:axId val="53556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6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Calculation!$C$96</c:f>
              <c:strCache>
                <c:ptCount val="1"/>
                <c:pt idx="0">
                  <c:v>Z(sisa)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Calculation!$B$97:$B$108</c:f>
              <c:numCache>
                <c:formatCode>General</c:formatCode>
                <c:ptCount val="12"/>
                <c:pt idx="0">
                  <c:v>-0.33373015873015599</c:v>
                </c:pt>
                <c:pt idx="1">
                  <c:v>-0.18571428571428616</c:v>
                </c:pt>
                <c:pt idx="2">
                  <c:v>5.2380952380952306E-2</c:v>
                </c:pt>
                <c:pt idx="3">
                  <c:v>0.30436507936507978</c:v>
                </c:pt>
                <c:pt idx="4">
                  <c:v>0.10396825396825764</c:v>
                </c:pt>
                <c:pt idx="5">
                  <c:v>0.72896825396825671</c:v>
                </c:pt>
                <c:pt idx="6">
                  <c:v>-0.8329365079365072</c:v>
                </c:pt>
                <c:pt idx="7">
                  <c:v>-0.34761904761904328</c:v>
                </c:pt>
                <c:pt idx="8">
                  <c:v>-0.68571428571427895</c:v>
                </c:pt>
                <c:pt idx="9">
                  <c:v>0.29523809523809097</c:v>
                </c:pt>
                <c:pt idx="10">
                  <c:v>0.87142857142856511</c:v>
                </c:pt>
                <c:pt idx="11">
                  <c:v>2.9365079365090474E-2</c:v>
                </c:pt>
              </c:numCache>
            </c:numRef>
          </c:xVal>
          <c:yVal>
            <c:numRef>
              <c:f>Calculation!$C$97:$C$108</c:f>
              <c:numCache>
                <c:formatCode>General</c:formatCode>
                <c:ptCount val="12"/>
                <c:pt idx="0">
                  <c:v>0.34166666666666856</c:v>
                </c:pt>
                <c:pt idx="1">
                  <c:v>0.35000000000000142</c:v>
                </c:pt>
                <c:pt idx="2">
                  <c:v>0.35000000000000142</c:v>
                </c:pt>
                <c:pt idx="3">
                  <c:v>0.5416666666666714</c:v>
                </c:pt>
                <c:pt idx="4">
                  <c:v>0.18333333333333712</c:v>
                </c:pt>
                <c:pt idx="5">
                  <c:v>0.7083333333333357</c:v>
                </c:pt>
                <c:pt idx="6">
                  <c:v>-0.89166666666666572</c:v>
                </c:pt>
                <c:pt idx="7">
                  <c:v>-0.42499999999999716</c:v>
                </c:pt>
                <c:pt idx="8">
                  <c:v>-0.82499999999999574</c:v>
                </c:pt>
                <c:pt idx="9">
                  <c:v>7.4999999999995737E-2</c:v>
                </c:pt>
                <c:pt idx="10">
                  <c:v>0.47499999999999432</c:v>
                </c:pt>
                <c:pt idx="11">
                  <c:v>-0.88333333333332575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74-4692-8D25-4D17923DC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092592"/>
        <c:axId val="1309088272"/>
      </c:scatterChart>
      <c:valAx>
        <c:axId val="130909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88272"/>
        <c:crosses val="autoZero"/>
        <c:crossBetween val="midCat"/>
      </c:valAx>
      <c:valAx>
        <c:axId val="130908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09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1.png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19</xdr:row>
      <xdr:rowOff>14287</xdr:rowOff>
    </xdr:from>
    <xdr:to>
      <xdr:col>9</xdr:col>
      <xdr:colOff>0</xdr:colOff>
      <xdr:row>32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9FD401-FB4B-4E17-9C70-3E58E4A89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2998</xdr:colOff>
      <xdr:row>60</xdr:row>
      <xdr:rowOff>136413</xdr:rowOff>
    </xdr:from>
    <xdr:to>
      <xdr:col>14</xdr:col>
      <xdr:colOff>7327</xdr:colOff>
      <xdr:row>73</xdr:row>
      <xdr:rowOff>197826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53405-EC0A-46FF-9361-AB51DC788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162443</xdr:colOff>
      <xdr:row>15</xdr:row>
      <xdr:rowOff>73838</xdr:rowOff>
    </xdr:from>
    <xdr:to>
      <xdr:col>11</xdr:col>
      <xdr:colOff>928797</xdr:colOff>
      <xdr:row>26</xdr:row>
      <xdr:rowOff>132908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66F52-1974-471A-A9BF-087C36625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9303" y="2983024"/>
          <a:ext cx="3941354" cy="2185582"/>
        </a:xfrm>
        <a:prstGeom prst="rect">
          <a:avLst/>
        </a:prstGeom>
      </xdr:spPr>
    </xdr:pic>
    <xdr:clientData/>
  </xdr:twoCellAnchor>
  <xdr:twoCellAnchor editAs="oneCell">
    <xdr:from>
      <xdr:col>4</xdr:col>
      <xdr:colOff>312761</xdr:colOff>
      <xdr:row>39</xdr:row>
      <xdr:rowOff>180074</xdr:rowOff>
    </xdr:from>
    <xdr:to>
      <xdr:col>8</xdr:col>
      <xdr:colOff>435969</xdr:colOff>
      <xdr:row>42</xdr:row>
      <xdr:rowOff>76579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BA73EA-F683-415B-003D-C84B31F77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9776" y="7970671"/>
          <a:ext cx="2767462" cy="493595"/>
        </a:xfrm>
        <a:prstGeom prst="rect">
          <a:avLst/>
        </a:prstGeom>
      </xdr:spPr>
    </xdr:pic>
    <xdr:clientData/>
  </xdr:twoCellAnchor>
  <xdr:twoCellAnchor editAs="oneCell">
    <xdr:from>
      <xdr:col>4</xdr:col>
      <xdr:colOff>61736</xdr:colOff>
      <xdr:row>89</xdr:row>
      <xdr:rowOff>123471</xdr:rowOff>
    </xdr:from>
    <xdr:to>
      <xdr:col>6</xdr:col>
      <xdr:colOff>246944</xdr:colOff>
      <xdr:row>92</xdr:row>
      <xdr:rowOff>109039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0B6A7C-33C7-670A-A7BE-792B8D5B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25069" y="17497777"/>
          <a:ext cx="1561042" cy="567651"/>
        </a:xfrm>
        <a:prstGeom prst="rect">
          <a:avLst/>
        </a:prstGeom>
      </xdr:spPr>
    </xdr:pic>
    <xdr:clientData/>
  </xdr:twoCellAnchor>
  <xdr:twoCellAnchor>
    <xdr:from>
      <xdr:col>3</xdr:col>
      <xdr:colOff>460856</xdr:colOff>
      <xdr:row>94</xdr:row>
      <xdr:rowOff>47528</xdr:rowOff>
    </xdr:from>
    <xdr:to>
      <xdr:col>10</xdr:col>
      <xdr:colOff>376189</xdr:colOff>
      <xdr:row>108</xdr:row>
      <xdr:rowOff>96788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71D697-BB9B-B882-CB43-A9AAF0F10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211666</xdr:colOff>
      <xdr:row>88</xdr:row>
      <xdr:rowOff>80636</xdr:rowOff>
    </xdr:from>
    <xdr:to>
      <xdr:col>23</xdr:col>
      <xdr:colOff>-1</xdr:colOff>
      <xdr:row>91</xdr:row>
      <xdr:rowOff>61173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ED2C48-0977-6067-039D-BFADF711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897301" y="17870715"/>
          <a:ext cx="2328333" cy="585299"/>
        </a:xfrm>
        <a:prstGeom prst="rect">
          <a:avLst/>
        </a:prstGeom>
      </xdr:spPr>
    </xdr:pic>
    <xdr:clientData/>
  </xdr:twoCellAnchor>
  <xdr:twoCellAnchor editAs="oneCell">
    <xdr:from>
      <xdr:col>1</xdr:col>
      <xdr:colOff>241905</xdr:colOff>
      <xdr:row>109</xdr:row>
      <xdr:rowOff>40317</xdr:rowOff>
    </xdr:from>
    <xdr:to>
      <xdr:col>8</xdr:col>
      <xdr:colOff>554365</xdr:colOff>
      <xdr:row>111</xdr:row>
      <xdr:rowOff>142672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789208-D27B-5E34-7B4A-603B825CB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7778" y="22063730"/>
          <a:ext cx="5200952" cy="505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341B-65A6-4945-82A9-0A359D1608D7}">
  <sheetPr>
    <tabColor rgb="FF0000FF"/>
  </sheetPr>
  <dimension ref="A1:X108"/>
  <sheetViews>
    <sheetView tabSelected="1" topLeftCell="A64" zoomScale="49" zoomScaleNormal="69" workbookViewId="0">
      <selection activeCell="M81" sqref="M81"/>
    </sheetView>
  </sheetViews>
  <sheetFormatPr defaultColWidth="9.08984375" defaultRowHeight="15.5" x14ac:dyDescent="0.35"/>
  <cols>
    <col min="1" max="5" width="10.6328125" style="1" customWidth="1"/>
    <col min="6" max="11" width="9.08984375" style="1"/>
    <col min="12" max="13" width="15.6328125" style="1" customWidth="1"/>
    <col min="14" max="14" width="25.6328125" style="1" customWidth="1"/>
    <col min="15" max="16384" width="9.08984375" style="1"/>
  </cols>
  <sheetData>
    <row r="1" spans="1:10" ht="15.75" customHeight="1" x14ac:dyDescent="0.35">
      <c r="A1" s="9" t="s">
        <v>5</v>
      </c>
      <c r="B1" s="9">
        <v>1</v>
      </c>
      <c r="C1" s="9">
        <v>2</v>
      </c>
      <c r="D1" s="9">
        <v>3</v>
      </c>
      <c r="E1" s="9">
        <v>4</v>
      </c>
    </row>
    <row r="2" spans="1:10" ht="16.5" customHeight="1" x14ac:dyDescent="0.35">
      <c r="A2" s="9">
        <v>1</v>
      </c>
      <c r="B2" s="10">
        <v>46</v>
      </c>
      <c r="C2" s="10">
        <v>43.7</v>
      </c>
      <c r="D2" s="10">
        <v>44.5</v>
      </c>
      <c r="E2" s="10">
        <v>47.5</v>
      </c>
    </row>
    <row r="3" spans="1:10" x14ac:dyDescent="0.35">
      <c r="A3" s="9">
        <v>2</v>
      </c>
      <c r="B3" s="10">
        <v>44.2</v>
      </c>
      <c r="C3" s="10">
        <v>44.8</v>
      </c>
      <c r="D3" s="10">
        <v>44.8</v>
      </c>
      <c r="E3" s="10">
        <v>47.1</v>
      </c>
    </row>
    <row r="4" spans="1:10" x14ac:dyDescent="0.35">
      <c r="A4" s="9">
        <v>3</v>
      </c>
      <c r="B4" s="10">
        <v>46</v>
      </c>
      <c r="C4" s="10">
        <v>45.4</v>
      </c>
      <c r="D4" s="10">
        <v>45.8</v>
      </c>
      <c r="E4" s="10">
        <v>46.6</v>
      </c>
    </row>
    <row r="5" spans="1:10" x14ac:dyDescent="0.35">
      <c r="A5" s="7"/>
      <c r="B5" s="7"/>
      <c r="C5" s="7"/>
      <c r="D5" s="7"/>
      <c r="E5" s="7"/>
    </row>
    <row r="6" spans="1:10" ht="15.75" customHeight="1" x14ac:dyDescent="0.35">
      <c r="A6" s="22" t="s">
        <v>6</v>
      </c>
      <c r="B6" s="23"/>
      <c r="C6" s="23"/>
      <c r="D6" s="23"/>
      <c r="E6" s="23"/>
    </row>
    <row r="7" spans="1:10" ht="15.75" customHeight="1" x14ac:dyDescent="0.35">
      <c r="A7" s="22"/>
      <c r="B7" s="23"/>
      <c r="C7" s="23"/>
      <c r="D7" s="23"/>
      <c r="E7" s="23"/>
      <c r="J7" s="6"/>
    </row>
    <row r="8" spans="1:10" x14ac:dyDescent="0.35">
      <c r="A8" s="9" t="s">
        <v>5</v>
      </c>
      <c r="B8" s="9">
        <v>1</v>
      </c>
      <c r="C8" s="9">
        <v>2</v>
      </c>
      <c r="D8" s="9">
        <v>3</v>
      </c>
      <c r="E8" s="9">
        <v>4</v>
      </c>
      <c r="F8" s="8" t="s">
        <v>7</v>
      </c>
      <c r="G8" s="8" t="s">
        <v>8</v>
      </c>
      <c r="H8" s="8" t="s">
        <v>9</v>
      </c>
      <c r="J8" s="6"/>
    </row>
    <row r="9" spans="1:10" x14ac:dyDescent="0.35">
      <c r="A9" s="9">
        <v>1</v>
      </c>
      <c r="B9" s="10">
        <f>B2</f>
        <v>46</v>
      </c>
      <c r="C9" s="10">
        <f t="shared" ref="C9:E9" si="0">C2</f>
        <v>43.7</v>
      </c>
      <c r="D9" s="10">
        <f t="shared" si="0"/>
        <v>44.5</v>
      </c>
      <c r="E9" s="10">
        <f t="shared" si="0"/>
        <v>47.5</v>
      </c>
      <c r="F9" s="3">
        <f>SUM(B9:E9)</f>
        <v>181.7</v>
      </c>
      <c r="G9" s="3">
        <f>AVERAGE(B9:E9)</f>
        <v>45.424999999999997</v>
      </c>
      <c r="H9" s="3">
        <f>G9-G$13</f>
        <v>-0.10833333333333428</v>
      </c>
      <c r="J9" s="6"/>
    </row>
    <row r="10" spans="1:10" x14ac:dyDescent="0.35">
      <c r="A10" s="9">
        <v>2</v>
      </c>
      <c r="B10" s="10">
        <f>B3</f>
        <v>44.2</v>
      </c>
      <c r="C10" s="10">
        <f t="shared" ref="C10:E11" si="1">C3</f>
        <v>44.8</v>
      </c>
      <c r="D10" s="10">
        <f t="shared" si="1"/>
        <v>44.8</v>
      </c>
      <c r="E10" s="10">
        <f t="shared" si="1"/>
        <v>47.1</v>
      </c>
      <c r="F10" s="3">
        <f>SUM(B10:E10)</f>
        <v>180.9</v>
      </c>
      <c r="G10" s="3">
        <f>AVERAGE(B10:E10)</f>
        <v>45.225000000000001</v>
      </c>
      <c r="H10" s="3">
        <f t="shared" ref="H10:H11" si="2">G10-G$13</f>
        <v>-0.30833333333333002</v>
      </c>
    </row>
    <row r="11" spans="1:10" ht="15.75" customHeight="1" x14ac:dyDescent="0.35">
      <c r="A11" s="9">
        <v>3</v>
      </c>
      <c r="B11" s="10">
        <f>B4</f>
        <v>46</v>
      </c>
      <c r="C11" s="10">
        <f t="shared" si="1"/>
        <v>45.4</v>
      </c>
      <c r="D11" s="10">
        <f t="shared" si="1"/>
        <v>45.8</v>
      </c>
      <c r="E11" s="10">
        <f t="shared" si="1"/>
        <v>46.6</v>
      </c>
      <c r="F11" s="3">
        <f>SUM(B11:E11)</f>
        <v>183.79999999999998</v>
      </c>
      <c r="G11" s="3">
        <f>AVERAGE(B11:E11)</f>
        <v>45.949999999999996</v>
      </c>
      <c r="H11" s="3">
        <f t="shared" si="2"/>
        <v>0.4166666666666643</v>
      </c>
    </row>
    <row r="12" spans="1:10" ht="16.5" customHeight="1" x14ac:dyDescent="0.35">
      <c r="A12" s="12" t="s">
        <v>10</v>
      </c>
      <c r="B12" s="3">
        <f>SUM(B9:B11)</f>
        <v>136.19999999999999</v>
      </c>
      <c r="C12" s="3">
        <f t="shared" ref="C12:E12" si="3">SUM(C9:C11)</f>
        <v>133.9</v>
      </c>
      <c r="D12" s="3">
        <f t="shared" si="3"/>
        <v>135.1</v>
      </c>
      <c r="E12" s="3">
        <f t="shared" si="3"/>
        <v>141.19999999999999</v>
      </c>
      <c r="F12" s="12">
        <f>SUM(B12:E12)</f>
        <v>546.40000000000009</v>
      </c>
      <c r="G12" s="14"/>
      <c r="H12" s="14"/>
    </row>
    <row r="13" spans="1:10" x14ac:dyDescent="0.35">
      <c r="A13" s="12" t="s">
        <v>11</v>
      </c>
      <c r="B13" s="3">
        <f>AVERAGE(B9:B11)</f>
        <v>45.4</v>
      </c>
      <c r="C13" s="3">
        <f t="shared" ref="C13:E13" si="4">AVERAGE(C9:C11)</f>
        <v>44.633333333333333</v>
      </c>
      <c r="D13" s="3">
        <f t="shared" si="4"/>
        <v>45.033333333333331</v>
      </c>
      <c r="E13" s="3">
        <f t="shared" si="4"/>
        <v>47.066666666666663</v>
      </c>
      <c r="F13" s="14"/>
      <c r="G13" s="12">
        <f>AVERAGE(G9:G11)</f>
        <v>45.533333333333331</v>
      </c>
      <c r="H13" s="14"/>
    </row>
    <row r="14" spans="1:10" x14ac:dyDescent="0.35">
      <c r="A14" s="12" t="s">
        <v>12</v>
      </c>
      <c r="B14" s="3">
        <f>B13-$G13</f>
        <v>-0.13333333333333286</v>
      </c>
      <c r="C14" s="3">
        <f t="shared" ref="C14:E14" si="5">C13-$G13</f>
        <v>-0.89999999999999858</v>
      </c>
      <c r="D14" s="3">
        <f t="shared" si="5"/>
        <v>-0.5</v>
      </c>
      <c r="E14" s="3">
        <f t="shared" si="5"/>
        <v>1.5333333333333314</v>
      </c>
      <c r="F14" s="14"/>
      <c r="G14" s="14"/>
      <c r="H14" s="13"/>
    </row>
    <row r="15" spans="1:10" x14ac:dyDescent="0.35">
      <c r="A15" s="11"/>
      <c r="B15" s="11"/>
      <c r="C15" s="11"/>
      <c r="D15" s="11"/>
      <c r="E15" s="11"/>
      <c r="F15" s="11"/>
      <c r="G15" s="11"/>
    </row>
    <row r="16" spans="1:10" ht="15.75" customHeight="1" x14ac:dyDescent="0.35">
      <c r="A16" s="22" t="s">
        <v>13</v>
      </c>
      <c r="B16" s="23"/>
      <c r="C16" s="23"/>
      <c r="D16" s="23"/>
      <c r="E16" s="23"/>
      <c r="F16" s="11"/>
      <c r="G16" s="11"/>
    </row>
    <row r="17" spans="1:7" ht="15.75" customHeight="1" x14ac:dyDescent="0.35">
      <c r="A17" s="22"/>
      <c r="B17" s="23"/>
      <c r="C17" s="23"/>
      <c r="D17" s="23"/>
      <c r="E17" s="23"/>
      <c r="F17" s="11"/>
      <c r="G17" s="11"/>
    </row>
    <row r="18" spans="1:7" x14ac:dyDescent="0.35">
      <c r="A18" s="9" t="s">
        <v>5</v>
      </c>
      <c r="B18" s="9">
        <v>1</v>
      </c>
      <c r="C18" s="9">
        <v>2</v>
      </c>
      <c r="D18" s="9">
        <v>3</v>
      </c>
      <c r="E18" s="9">
        <v>4</v>
      </c>
      <c r="F18" s="11"/>
      <c r="G18" s="11"/>
    </row>
    <row r="19" spans="1:7" ht="15.75" customHeight="1" x14ac:dyDescent="0.35">
      <c r="A19" s="9">
        <v>1</v>
      </c>
      <c r="B19" s="10">
        <f>B9-$G$13</f>
        <v>0.46666666666666856</v>
      </c>
      <c r="C19" s="10">
        <f t="shared" ref="C19:E19" si="6">C9-$G$13</f>
        <v>-1.8333333333333286</v>
      </c>
      <c r="D19" s="10">
        <f t="shared" si="6"/>
        <v>-1.0333333333333314</v>
      </c>
      <c r="E19" s="10">
        <f t="shared" si="6"/>
        <v>1.9666666666666686</v>
      </c>
      <c r="F19" s="11"/>
      <c r="G19" s="11"/>
    </row>
    <row r="20" spans="1:7" ht="16.5" customHeight="1" x14ac:dyDescent="0.35">
      <c r="A20" s="9">
        <v>2</v>
      </c>
      <c r="B20" s="10">
        <f>B10-$G$13</f>
        <v>-1.3333333333333286</v>
      </c>
      <c r="C20" s="10">
        <f t="shared" ref="C20:E21" si="7">C10-$G$13</f>
        <v>-0.73333333333333428</v>
      </c>
      <c r="D20" s="10">
        <f t="shared" si="7"/>
        <v>-0.73333333333333428</v>
      </c>
      <c r="E20" s="10">
        <f t="shared" si="7"/>
        <v>1.56666666666667</v>
      </c>
      <c r="F20" s="11"/>
      <c r="G20" s="11"/>
    </row>
    <row r="21" spans="1:7" ht="15.75" customHeight="1" x14ac:dyDescent="0.35">
      <c r="A21" s="9">
        <v>3</v>
      </c>
      <c r="B21" s="10">
        <f>B11-$G$13</f>
        <v>0.46666666666666856</v>
      </c>
      <c r="C21" s="10">
        <f t="shared" si="7"/>
        <v>-0.13333333333333286</v>
      </c>
      <c r="D21" s="10">
        <f t="shared" si="7"/>
        <v>0.26666666666666572</v>
      </c>
      <c r="E21" s="10">
        <f t="shared" si="7"/>
        <v>1.06666666666667</v>
      </c>
      <c r="F21" s="11"/>
      <c r="G21" s="11"/>
    </row>
    <row r="22" spans="1:7" x14ac:dyDescent="0.35">
      <c r="A22" s="11"/>
      <c r="B22" s="11"/>
      <c r="C22" s="11"/>
      <c r="D22" s="11"/>
      <c r="E22" s="11"/>
      <c r="F22" s="11"/>
      <c r="G22" s="11"/>
    </row>
    <row r="23" spans="1:7" x14ac:dyDescent="0.35">
      <c r="A23" s="22" t="s">
        <v>14</v>
      </c>
      <c r="B23" s="23"/>
      <c r="C23" s="23"/>
      <c r="D23" s="23"/>
      <c r="E23" s="23"/>
      <c r="F23" s="11"/>
      <c r="G23" s="11"/>
    </row>
    <row r="24" spans="1:7" x14ac:dyDescent="0.35">
      <c r="A24" s="22"/>
      <c r="B24" s="23"/>
      <c r="C24" s="23"/>
      <c r="D24" s="23"/>
      <c r="E24" s="23"/>
      <c r="F24" s="11"/>
      <c r="G24" s="11"/>
    </row>
    <row r="25" spans="1:7" x14ac:dyDescent="0.35">
      <c r="A25" s="9" t="s">
        <v>5</v>
      </c>
      <c r="B25" s="9">
        <v>1</v>
      </c>
      <c r="C25" s="9">
        <v>2</v>
      </c>
      <c r="D25" s="9">
        <v>3</v>
      </c>
      <c r="E25" s="9">
        <v>4</v>
      </c>
      <c r="F25" s="11"/>
      <c r="G25" s="11"/>
    </row>
    <row r="26" spans="1:7" x14ac:dyDescent="0.35">
      <c r="A26" s="9">
        <v>1</v>
      </c>
      <c r="B26" s="10">
        <f>B19-$H9</f>
        <v>0.57500000000000284</v>
      </c>
      <c r="C26" s="10">
        <f t="shared" ref="C26:E26" si="8">C19-$H9</f>
        <v>-1.7249999999999943</v>
      </c>
      <c r="D26" s="10">
        <f t="shared" si="8"/>
        <v>-0.92499999999999716</v>
      </c>
      <c r="E26" s="10">
        <f t="shared" si="8"/>
        <v>2.0750000000000028</v>
      </c>
      <c r="F26" s="11"/>
      <c r="G26" s="11"/>
    </row>
    <row r="27" spans="1:7" x14ac:dyDescent="0.35">
      <c r="A27" s="9">
        <v>2</v>
      </c>
      <c r="B27" s="10">
        <f>B20-$H10</f>
        <v>-1.0249999999999986</v>
      </c>
      <c r="C27" s="10">
        <f t="shared" ref="C27:E27" si="9">C20-$H10</f>
        <v>-0.42500000000000426</v>
      </c>
      <c r="D27" s="10">
        <f t="shared" si="9"/>
        <v>-0.42500000000000426</v>
      </c>
      <c r="E27" s="10">
        <f t="shared" si="9"/>
        <v>1.875</v>
      </c>
      <c r="F27" s="11"/>
      <c r="G27" s="11"/>
    </row>
    <row r="28" spans="1:7" x14ac:dyDescent="0.35">
      <c r="A28" s="9">
        <v>3</v>
      </c>
      <c r="B28" s="10">
        <f>B21-$H11</f>
        <v>5.0000000000004263E-2</v>
      </c>
      <c r="C28" s="10">
        <f t="shared" ref="C28:E28" si="10">C21-$H11</f>
        <v>-0.54999999999999716</v>
      </c>
      <c r="D28" s="10">
        <f t="shared" si="10"/>
        <v>-0.14999999999999858</v>
      </c>
      <c r="E28" s="10">
        <f t="shared" si="10"/>
        <v>0.65000000000000568</v>
      </c>
      <c r="F28" s="11"/>
      <c r="G28" s="11"/>
    </row>
    <row r="29" spans="1:7" x14ac:dyDescent="0.35">
      <c r="A29" s="11"/>
      <c r="B29" s="11"/>
      <c r="C29" s="11"/>
      <c r="D29" s="11"/>
      <c r="E29" s="11"/>
      <c r="F29" s="11"/>
      <c r="G29" s="11"/>
    </row>
    <row r="30" spans="1:7" x14ac:dyDescent="0.35">
      <c r="A30" s="22" t="s">
        <v>36</v>
      </c>
      <c r="B30" s="23"/>
      <c r="C30" s="23"/>
      <c r="D30" s="23"/>
      <c r="E30" s="23"/>
      <c r="F30" s="24"/>
      <c r="G30" s="11"/>
    </row>
    <row r="31" spans="1:7" x14ac:dyDescent="0.35">
      <c r="A31" s="22"/>
      <c r="B31" s="23"/>
      <c r="C31" s="23"/>
      <c r="D31" s="23"/>
      <c r="E31" s="23"/>
      <c r="F31" s="24"/>
      <c r="G31" s="11"/>
    </row>
    <row r="32" spans="1:7" x14ac:dyDescent="0.35">
      <c r="A32" s="9" t="s">
        <v>5</v>
      </c>
      <c r="B32" s="9">
        <v>1</v>
      </c>
      <c r="C32" s="9">
        <v>2</v>
      </c>
      <c r="D32" s="9">
        <v>3</v>
      </c>
      <c r="E32" s="9">
        <v>4</v>
      </c>
      <c r="F32" s="11"/>
      <c r="G32" s="11"/>
    </row>
    <row r="33" spans="1:7" x14ac:dyDescent="0.35">
      <c r="A33" s="9">
        <v>1</v>
      </c>
      <c r="B33" s="10">
        <f>B26-B14</f>
        <v>0.7083333333333357</v>
      </c>
      <c r="C33" s="10">
        <f t="shared" ref="C33:E33" si="11">C26-C14</f>
        <v>-0.82499999999999574</v>
      </c>
      <c r="D33" s="10">
        <f t="shared" si="11"/>
        <v>-0.42499999999999716</v>
      </c>
      <c r="E33" s="10">
        <f t="shared" si="11"/>
        <v>0.5416666666666714</v>
      </c>
      <c r="F33" s="11"/>
      <c r="G33" s="11"/>
    </row>
    <row r="34" spans="1:7" x14ac:dyDescent="0.35">
      <c r="A34" s="9">
        <v>2</v>
      </c>
      <c r="B34" s="10">
        <f>B27-B14</f>
        <v>-0.89166666666666572</v>
      </c>
      <c r="C34" s="10">
        <f t="shared" ref="C34:E34" si="12">C27-C14</f>
        <v>0.47499999999999432</v>
      </c>
      <c r="D34" s="10">
        <f t="shared" si="12"/>
        <v>7.4999999999995737E-2</v>
      </c>
      <c r="E34" s="10">
        <f t="shared" si="12"/>
        <v>0.34166666666666856</v>
      </c>
      <c r="F34" s="11"/>
      <c r="G34" s="11"/>
    </row>
    <row r="35" spans="1:7" x14ac:dyDescent="0.35">
      <c r="A35" s="9">
        <v>3</v>
      </c>
      <c r="B35" s="10">
        <f>B28-B14</f>
        <v>0.18333333333333712</v>
      </c>
      <c r="C35" s="10">
        <f t="shared" ref="C35:E35" si="13">C28-C14</f>
        <v>0.35000000000000142</v>
      </c>
      <c r="D35" s="10">
        <f t="shared" si="13"/>
        <v>0.35000000000000142</v>
      </c>
      <c r="E35" s="10">
        <f t="shared" si="13"/>
        <v>-0.88333333333332575</v>
      </c>
    </row>
    <row r="36" spans="1:7" x14ac:dyDescent="0.35">
      <c r="A36" s="7"/>
      <c r="B36" s="7"/>
      <c r="C36" s="7"/>
      <c r="D36" s="7"/>
      <c r="E36" s="7"/>
    </row>
    <row r="37" spans="1:7" x14ac:dyDescent="0.35">
      <c r="A37" s="22" t="s">
        <v>15</v>
      </c>
      <c r="B37" s="23"/>
      <c r="C37" s="23"/>
      <c r="D37" s="23"/>
      <c r="E37" s="23"/>
    </row>
    <row r="38" spans="1:7" x14ac:dyDescent="0.35">
      <c r="A38" s="22"/>
      <c r="B38" s="23"/>
      <c r="C38" s="23"/>
      <c r="D38" s="23"/>
      <c r="E38" s="23"/>
    </row>
    <row r="39" spans="1:7" x14ac:dyDescent="0.35">
      <c r="A39" s="7"/>
      <c r="B39" s="9"/>
      <c r="C39" s="9" t="s">
        <v>21</v>
      </c>
      <c r="D39" s="9" t="s">
        <v>4</v>
      </c>
      <c r="E39" s="7"/>
    </row>
    <row r="40" spans="1:7" x14ac:dyDescent="0.35">
      <c r="A40" s="7"/>
      <c r="B40" s="9" t="s">
        <v>16</v>
      </c>
      <c r="C40" s="10">
        <f>QUARTILE(B33:E35,1)</f>
        <v>-0.5249999999999968</v>
      </c>
      <c r="D40" s="10">
        <f>QUARTILE(B2:E4,1)</f>
        <v>44.724999999999994</v>
      </c>
      <c r="E40" s="7"/>
    </row>
    <row r="41" spans="1:7" x14ac:dyDescent="0.35">
      <c r="A41" s="7"/>
      <c r="B41" s="9" t="s">
        <v>17</v>
      </c>
      <c r="C41" s="10">
        <f>QUARTILE(B33:E35,2)</f>
        <v>0.26250000000000284</v>
      </c>
      <c r="D41" s="10">
        <f>QUARTILE(B2:E4,2)</f>
        <v>45.599999999999994</v>
      </c>
      <c r="E41" s="7"/>
    </row>
    <row r="42" spans="1:7" x14ac:dyDescent="0.35">
      <c r="B42" s="9" t="s">
        <v>18</v>
      </c>
      <c r="C42" s="10">
        <f>QUARTILE(B33:E35,3)</f>
        <v>0.38124999999999964</v>
      </c>
      <c r="D42" s="10">
        <f>QUARTILE(B2:E4,3)</f>
        <v>46.15</v>
      </c>
    </row>
    <row r="43" spans="1:7" x14ac:dyDescent="0.35">
      <c r="B43" s="9" t="s">
        <v>19</v>
      </c>
      <c r="C43" s="10">
        <f>C42-C40</f>
        <v>0.90624999999999645</v>
      </c>
      <c r="D43" s="10">
        <f>D42-D40</f>
        <v>1.4250000000000043</v>
      </c>
    </row>
    <row r="44" spans="1:7" x14ac:dyDescent="0.35">
      <c r="B44" s="9" t="s">
        <v>20</v>
      </c>
      <c r="C44" s="25">
        <f>C43/D43</f>
        <v>0.6359649122806974</v>
      </c>
      <c r="D44" s="26"/>
    </row>
    <row r="46" spans="1:7" ht="15.75" customHeight="1" x14ac:dyDescent="0.35">
      <c r="A46" s="22" t="s">
        <v>22</v>
      </c>
      <c r="B46" s="23"/>
      <c r="C46" s="23"/>
      <c r="D46" s="23"/>
      <c r="E46" s="23"/>
    </row>
    <row r="47" spans="1:7" ht="16.5" customHeight="1" x14ac:dyDescent="0.35">
      <c r="A47" s="22"/>
      <c r="B47" s="23"/>
      <c r="C47" s="23"/>
      <c r="D47" s="23"/>
      <c r="E47" s="23"/>
    </row>
    <row r="48" spans="1:7" x14ac:dyDescent="0.35">
      <c r="A48" s="9" t="s">
        <v>5</v>
      </c>
      <c r="B48" s="9">
        <v>1</v>
      </c>
      <c r="C48" s="9">
        <v>2</v>
      </c>
      <c r="D48" s="9">
        <v>3</v>
      </c>
      <c r="E48" s="9">
        <v>4</v>
      </c>
    </row>
    <row r="49" spans="1:5" x14ac:dyDescent="0.35">
      <c r="A49" s="9">
        <v>1</v>
      </c>
      <c r="B49" s="10">
        <f>$H9*B14</f>
        <v>1.444444444444452E-2</v>
      </c>
      <c r="C49" s="10">
        <f t="shared" ref="C49:E49" si="14">$H9*C14</f>
        <v>9.7500000000000697E-2</v>
      </c>
      <c r="D49" s="10">
        <f t="shared" si="14"/>
        <v>5.416666666666714E-2</v>
      </c>
      <c r="E49" s="10">
        <f t="shared" si="14"/>
        <v>-0.16611111111111235</v>
      </c>
    </row>
    <row r="50" spans="1:5" x14ac:dyDescent="0.35">
      <c r="A50" s="9">
        <v>2</v>
      </c>
      <c r="B50" s="10">
        <f>$H10*B14</f>
        <v>4.1111111111110522E-2</v>
      </c>
      <c r="C50" s="10">
        <f t="shared" ref="C50:E50" si="15">$H10*C14</f>
        <v>0.27749999999999658</v>
      </c>
      <c r="D50" s="10">
        <f t="shared" si="15"/>
        <v>0.15416666666666501</v>
      </c>
      <c r="E50" s="10">
        <f t="shared" si="15"/>
        <v>-0.47277777777777213</v>
      </c>
    </row>
    <row r="51" spans="1:5" ht="15.75" customHeight="1" x14ac:dyDescent="0.35">
      <c r="A51" s="9">
        <v>3</v>
      </c>
      <c r="B51" s="10">
        <f>$H11*B14</f>
        <v>-5.5555555555555039E-2</v>
      </c>
      <c r="C51" s="10">
        <f t="shared" ref="C51:E51" si="16">$H11*C14</f>
        <v>-0.37499999999999728</v>
      </c>
      <c r="D51" s="10">
        <f t="shared" si="16"/>
        <v>-0.20833333333333215</v>
      </c>
      <c r="E51" s="10">
        <f t="shared" si="16"/>
        <v>0.63888888888888451</v>
      </c>
    </row>
    <row r="52" spans="1:5" ht="15.75" customHeight="1" x14ac:dyDescent="0.35"/>
    <row r="53" spans="1:5" ht="15.75" customHeight="1" x14ac:dyDescent="0.35">
      <c r="A53" s="22" t="s">
        <v>23</v>
      </c>
      <c r="B53" s="23"/>
      <c r="C53" s="23"/>
      <c r="D53" s="23"/>
      <c r="E53" s="23"/>
    </row>
    <row r="54" spans="1:5" ht="15.75" customHeight="1" x14ac:dyDescent="0.35">
      <c r="A54" s="22"/>
      <c r="B54" s="23"/>
      <c r="C54" s="23"/>
      <c r="D54" s="23"/>
      <c r="E54" s="23"/>
    </row>
    <row r="55" spans="1:5" ht="15.75" customHeight="1" x14ac:dyDescent="0.35">
      <c r="A55" s="7"/>
      <c r="B55" s="9" t="s">
        <v>24</v>
      </c>
      <c r="C55" s="9" t="s">
        <v>25</v>
      </c>
      <c r="D55" s="9" t="s">
        <v>26</v>
      </c>
      <c r="E55" s="7"/>
    </row>
    <row r="56" spans="1:5" ht="16.5" customHeight="1" x14ac:dyDescent="0.35">
      <c r="A56" s="7"/>
      <c r="B56" s="9">
        <v>1</v>
      </c>
      <c r="C56" s="15">
        <f>B49</f>
        <v>1.444444444444452E-2</v>
      </c>
      <c r="D56" s="15">
        <f>B33</f>
        <v>0.7083333333333357</v>
      </c>
      <c r="E56" s="7"/>
    </row>
    <row r="57" spans="1:5" x14ac:dyDescent="0.35">
      <c r="A57" s="7"/>
      <c r="B57" s="9">
        <v>2</v>
      </c>
      <c r="C57" s="15">
        <f t="shared" ref="C57:C58" si="17">B50</f>
        <v>4.1111111111110522E-2</v>
      </c>
      <c r="D57" s="15">
        <f t="shared" ref="D57:D58" si="18">B34</f>
        <v>-0.89166666666666572</v>
      </c>
      <c r="E57" s="7"/>
    </row>
    <row r="58" spans="1:5" x14ac:dyDescent="0.35">
      <c r="B58" s="9">
        <v>3</v>
      </c>
      <c r="C58" s="15">
        <f t="shared" si="17"/>
        <v>-5.5555555555555039E-2</v>
      </c>
      <c r="D58" s="15">
        <f t="shared" si="18"/>
        <v>0.18333333333333712</v>
      </c>
    </row>
    <row r="59" spans="1:5" x14ac:dyDescent="0.35">
      <c r="B59" s="9">
        <v>1</v>
      </c>
      <c r="C59" s="15">
        <f>C49</f>
        <v>9.7500000000000697E-2</v>
      </c>
      <c r="D59" s="15">
        <f>C33</f>
        <v>-0.82499999999999574</v>
      </c>
    </row>
    <row r="60" spans="1:5" x14ac:dyDescent="0.35">
      <c r="B60" s="9">
        <v>2</v>
      </c>
      <c r="C60" s="15">
        <f>C50</f>
        <v>0.27749999999999658</v>
      </c>
      <c r="D60" s="15">
        <f t="shared" ref="D60:D61" si="19">C34</f>
        <v>0.47499999999999432</v>
      </c>
    </row>
    <row r="61" spans="1:5" x14ac:dyDescent="0.35">
      <c r="B61" s="9">
        <v>3</v>
      </c>
      <c r="C61" s="15">
        <f t="shared" ref="C60:C61" si="20">C51</f>
        <v>-0.37499999999999728</v>
      </c>
      <c r="D61" s="15">
        <f t="shared" si="19"/>
        <v>0.35000000000000142</v>
      </c>
    </row>
    <row r="62" spans="1:5" x14ac:dyDescent="0.35">
      <c r="B62" s="9">
        <v>1</v>
      </c>
      <c r="C62" s="15">
        <f>D49</f>
        <v>5.416666666666714E-2</v>
      </c>
      <c r="D62" s="15">
        <f>D33</f>
        <v>-0.42499999999999716</v>
      </c>
    </row>
    <row r="63" spans="1:5" x14ac:dyDescent="0.35">
      <c r="B63" s="9">
        <v>2</v>
      </c>
      <c r="C63" s="15">
        <f t="shared" ref="C63:C64" si="21">D50</f>
        <v>0.15416666666666501</v>
      </c>
      <c r="D63" s="15">
        <f t="shared" ref="D63:D64" si="22">D34</f>
        <v>7.4999999999995737E-2</v>
      </c>
    </row>
    <row r="64" spans="1:5" x14ac:dyDescent="0.35">
      <c r="B64" s="9">
        <v>3</v>
      </c>
      <c r="C64" s="15">
        <f t="shared" si="21"/>
        <v>-0.20833333333333215</v>
      </c>
      <c r="D64" s="15">
        <f t="shared" si="22"/>
        <v>0.35000000000000142</v>
      </c>
    </row>
    <row r="65" spans="1:7" x14ac:dyDescent="0.35">
      <c r="B65" s="9">
        <v>1</v>
      </c>
      <c r="C65" s="15">
        <f>E49</f>
        <v>-0.16611111111111235</v>
      </c>
      <c r="D65" s="15">
        <f>E33</f>
        <v>0.5416666666666714</v>
      </c>
    </row>
    <row r="66" spans="1:7" x14ac:dyDescent="0.35">
      <c r="B66" s="9">
        <v>2</v>
      </c>
      <c r="C66" s="15">
        <f t="shared" ref="C66:C67" si="23">E50</f>
        <v>-0.47277777777777213</v>
      </c>
      <c r="D66" s="15">
        <f t="shared" ref="D66:D67" si="24">E34</f>
        <v>0.34166666666666856</v>
      </c>
    </row>
    <row r="67" spans="1:7" x14ac:dyDescent="0.35">
      <c r="B67" s="9">
        <v>3</v>
      </c>
      <c r="C67" s="15">
        <f t="shared" si="23"/>
        <v>0.63888888888888451</v>
      </c>
      <c r="D67" s="15">
        <f t="shared" si="24"/>
        <v>-0.88333333333332575</v>
      </c>
    </row>
    <row r="69" spans="1:7" x14ac:dyDescent="0.35">
      <c r="A69" s="20" t="s">
        <v>27</v>
      </c>
      <c r="B69" s="20"/>
      <c r="C69" s="20"/>
      <c r="D69" s="20"/>
      <c r="E69" s="20"/>
    </row>
    <row r="70" spans="1:7" x14ac:dyDescent="0.35">
      <c r="A70" s="20"/>
      <c r="B70" s="20"/>
      <c r="C70" s="20"/>
      <c r="D70" s="20"/>
      <c r="E70" s="20"/>
    </row>
    <row r="71" spans="1:7" ht="15.75" customHeight="1" x14ac:dyDescent="0.35">
      <c r="A71" s="19" t="s">
        <v>28</v>
      </c>
      <c r="B71" s="19"/>
      <c r="C71" s="19"/>
      <c r="D71" s="19"/>
      <c r="E71" s="19"/>
    </row>
    <row r="72" spans="1:7" x14ac:dyDescent="0.35">
      <c r="A72" s="19"/>
      <c r="B72" s="19"/>
      <c r="C72" s="19"/>
      <c r="D72" s="19"/>
      <c r="E72" s="19"/>
    </row>
    <row r="73" spans="1:7" x14ac:dyDescent="0.35">
      <c r="A73" s="19"/>
      <c r="B73" s="19"/>
      <c r="C73" s="19"/>
      <c r="D73" s="19"/>
      <c r="E73" s="19"/>
    </row>
    <row r="74" spans="1:7" x14ac:dyDescent="0.35">
      <c r="A74" s="19"/>
      <c r="B74" s="19"/>
      <c r="C74" s="19"/>
      <c r="D74" s="19"/>
      <c r="E74" s="19"/>
    </row>
    <row r="75" spans="1:7" x14ac:dyDescent="0.35">
      <c r="A75" s="17"/>
      <c r="B75" s="17"/>
      <c r="C75" s="17"/>
      <c r="D75" s="17"/>
      <c r="E75" s="17"/>
    </row>
    <row r="76" spans="1:7" x14ac:dyDescent="0.35">
      <c r="A76" s="17"/>
      <c r="B76" s="17"/>
      <c r="C76" s="17"/>
      <c r="D76" s="17"/>
      <c r="E76" s="17"/>
    </row>
    <row r="77" spans="1:7" x14ac:dyDescent="0.35">
      <c r="A77" s="20" t="s">
        <v>34</v>
      </c>
      <c r="B77" s="20"/>
      <c r="C77" s="20"/>
      <c r="D77" s="20"/>
      <c r="E77" s="20"/>
      <c r="G77" s="1" t="s">
        <v>37</v>
      </c>
    </row>
    <row r="78" spans="1:7" x14ac:dyDescent="0.35">
      <c r="A78" s="20"/>
      <c r="B78" s="20"/>
      <c r="C78" s="20"/>
      <c r="D78" s="20"/>
      <c r="E78" s="20"/>
    </row>
    <row r="79" spans="1:7" x14ac:dyDescent="0.35">
      <c r="A79" s="17"/>
      <c r="B79" s="17"/>
      <c r="C79" s="17"/>
      <c r="D79" s="17"/>
      <c r="E79" s="17"/>
    </row>
    <row r="80" spans="1:7" x14ac:dyDescent="0.35">
      <c r="B80" s="1" t="s">
        <v>38</v>
      </c>
    </row>
    <row r="81" spans="2:24" x14ac:dyDescent="0.35">
      <c r="B81" s="9" t="s">
        <v>25</v>
      </c>
      <c r="C81" s="9" t="s">
        <v>26</v>
      </c>
      <c r="E81" s="28" t="s">
        <v>0</v>
      </c>
      <c r="F81" s="28"/>
      <c r="G81" s="28" t="s">
        <v>1</v>
      </c>
      <c r="H81" s="28"/>
      <c r="I81" s="28" t="s">
        <v>2</v>
      </c>
      <c r="J81" s="28"/>
      <c r="L81" s="9" t="s">
        <v>30</v>
      </c>
      <c r="M81" s="9" t="s">
        <v>31</v>
      </c>
      <c r="N81" s="9" t="s">
        <v>32</v>
      </c>
      <c r="P81" s="9" t="s">
        <v>5</v>
      </c>
      <c r="Q81" s="9">
        <v>1</v>
      </c>
      <c r="R81" s="9">
        <v>2</v>
      </c>
      <c r="S81" s="9">
        <v>3</v>
      </c>
      <c r="T81" s="9">
        <v>4</v>
      </c>
    </row>
    <row r="82" spans="2:24" ht="16" thickBot="1" x14ac:dyDescent="0.4">
      <c r="B82" s="15">
        <v>-0.47277777777777213</v>
      </c>
      <c r="C82" s="15">
        <f>D66</f>
        <v>0.34166666666666856</v>
      </c>
      <c r="E82" s="5" t="s">
        <v>3</v>
      </c>
      <c r="F82" s="5" t="s">
        <v>29</v>
      </c>
      <c r="G82" s="5" t="s">
        <v>3</v>
      </c>
      <c r="H82" s="5" t="s">
        <v>29</v>
      </c>
      <c r="I82" s="5" t="s">
        <v>3</v>
      </c>
      <c r="J82" s="5" t="s">
        <v>29</v>
      </c>
      <c r="L82" s="15">
        <f>F$89*B82</f>
        <v>0.67539682539682455</v>
      </c>
      <c r="M82" s="15">
        <f>C82</f>
        <v>0.34166666666666856</v>
      </c>
      <c r="N82" s="15">
        <f>M82-L82</f>
        <v>-0.33373015873015599</v>
      </c>
      <c r="P82" s="9">
        <v>1</v>
      </c>
      <c r="Q82" s="10">
        <f>N82</f>
        <v>-0.33373015873015599</v>
      </c>
      <c r="R82" s="10">
        <f>N85</f>
        <v>0.30436507936507978</v>
      </c>
      <c r="S82" s="10">
        <f>N88</f>
        <v>-0.8329365079365072</v>
      </c>
      <c r="T82" s="10">
        <f>N91</f>
        <v>0.29523809523809097</v>
      </c>
    </row>
    <row r="83" spans="2:24" ht="16" thickTop="1" x14ac:dyDescent="0.35">
      <c r="B83" s="15">
        <v>-0.37499999999999728</v>
      </c>
      <c r="C83" s="15">
        <f>D61</f>
        <v>0.35000000000000142</v>
      </c>
      <c r="E83" s="2">
        <f>B82</f>
        <v>-0.47277777777777213</v>
      </c>
      <c r="F83" s="2">
        <f>C82</f>
        <v>0.34166666666666856</v>
      </c>
      <c r="G83" s="2">
        <f>B86</f>
        <v>-5.5555555555555039E-2</v>
      </c>
      <c r="H83" s="2">
        <f>C86</f>
        <v>0.18333333333333712</v>
      </c>
      <c r="I83" s="2">
        <f>B90</f>
        <v>9.7500000000000697E-2</v>
      </c>
      <c r="J83" s="2">
        <f>C90</f>
        <v>-0.82499999999999574</v>
      </c>
      <c r="L83" s="15">
        <f t="shared" ref="L83:L93" si="25">F$89*B83</f>
        <v>0.53571428571428759</v>
      </c>
      <c r="M83" s="15">
        <f>C83</f>
        <v>0.35000000000000142</v>
      </c>
      <c r="N83" s="15">
        <f t="shared" ref="N83:N93" si="26">M83-L83</f>
        <v>-0.18571428571428616</v>
      </c>
      <c r="P83" s="9">
        <v>2</v>
      </c>
      <c r="Q83" s="10">
        <f t="shared" ref="Q83:Q84" si="27">N83</f>
        <v>-0.18571428571428616</v>
      </c>
      <c r="R83" s="10">
        <f t="shared" ref="R83:R84" si="28">N86</f>
        <v>0.10396825396825764</v>
      </c>
      <c r="S83" s="10">
        <f t="shared" ref="S83:S84" si="29">N89</f>
        <v>-0.34761904761904328</v>
      </c>
      <c r="T83" s="10">
        <f t="shared" ref="T83:T84" si="30">N92</f>
        <v>0.87142857142856511</v>
      </c>
    </row>
    <row r="84" spans="2:24" x14ac:dyDescent="0.35">
      <c r="B84" s="15">
        <v>-0.20833333333333215</v>
      </c>
      <c r="C84" s="15">
        <f>D64</f>
        <v>0.35000000000000142</v>
      </c>
      <c r="E84" s="2">
        <f t="shared" ref="E84:E86" si="31">B83</f>
        <v>-0.37499999999999728</v>
      </c>
      <c r="F84" s="2">
        <f t="shared" ref="F84:F86" si="32">C83</f>
        <v>0.35000000000000142</v>
      </c>
      <c r="G84" s="2">
        <f t="shared" ref="G84:G86" si="33">B87</f>
        <v>1.444444444444452E-2</v>
      </c>
      <c r="H84" s="2">
        <f t="shared" ref="H84:H86" si="34">C87</f>
        <v>0.7083333333333357</v>
      </c>
      <c r="I84" s="2">
        <f t="shared" ref="I84:I86" si="35">B91</f>
        <v>0.15416666666666501</v>
      </c>
      <c r="J84" s="2">
        <f t="shared" ref="J84:J86" si="36">C91</f>
        <v>7.4999999999995737E-2</v>
      </c>
      <c r="L84" s="15">
        <f t="shared" si="25"/>
        <v>0.29761904761904912</v>
      </c>
      <c r="M84" s="15">
        <f t="shared" ref="M83:M93" si="37">C84</f>
        <v>0.35000000000000142</v>
      </c>
      <c r="N84" s="15">
        <f t="shared" si="26"/>
        <v>5.2380952380952306E-2</v>
      </c>
      <c r="P84" s="9">
        <v>3</v>
      </c>
      <c r="Q84" s="10">
        <f t="shared" si="27"/>
        <v>5.2380952380952306E-2</v>
      </c>
      <c r="R84" s="10">
        <f t="shared" si="28"/>
        <v>0.72896825396825671</v>
      </c>
      <c r="S84" s="10">
        <f t="shared" si="29"/>
        <v>-0.68571428571427895</v>
      </c>
      <c r="T84" s="10">
        <f t="shared" si="30"/>
        <v>2.9365079365090474E-2</v>
      </c>
    </row>
    <row r="85" spans="2:24" x14ac:dyDescent="0.35">
      <c r="B85" s="15">
        <v>-0.16611111111111235</v>
      </c>
      <c r="C85" s="15">
        <f>D65</f>
        <v>0.5416666666666714</v>
      </c>
      <c r="E85" s="2">
        <f t="shared" si="31"/>
        <v>-0.20833333333333215</v>
      </c>
      <c r="F85" s="2">
        <f t="shared" si="32"/>
        <v>0.35000000000000142</v>
      </c>
      <c r="G85" s="2">
        <f t="shared" si="33"/>
        <v>4.1111111111110522E-2</v>
      </c>
      <c r="H85" s="2">
        <f t="shared" si="34"/>
        <v>-0.89166666666666572</v>
      </c>
      <c r="I85" s="2">
        <f t="shared" si="35"/>
        <v>0.27749999999999658</v>
      </c>
      <c r="J85" s="2">
        <f t="shared" si="36"/>
        <v>0.47499999999999432</v>
      </c>
      <c r="L85" s="15">
        <f t="shared" si="25"/>
        <v>0.23730158730159162</v>
      </c>
      <c r="M85" s="15">
        <f t="shared" si="37"/>
        <v>0.5416666666666714</v>
      </c>
      <c r="N85" s="15">
        <f t="shared" si="26"/>
        <v>0.30436507936507978</v>
      </c>
    </row>
    <row r="86" spans="2:24" x14ac:dyDescent="0.35">
      <c r="B86" s="15">
        <v>-5.5555555555555039E-2</v>
      </c>
      <c r="C86" s="15">
        <f>D58</f>
        <v>0.18333333333333712</v>
      </c>
      <c r="E86" s="2">
        <f t="shared" si="31"/>
        <v>-0.16611111111111235</v>
      </c>
      <c r="F86" s="2">
        <f t="shared" si="32"/>
        <v>0.5416666666666714</v>
      </c>
      <c r="G86" s="2">
        <f t="shared" si="33"/>
        <v>5.416666666666714E-2</v>
      </c>
      <c r="H86" s="2">
        <f t="shared" si="34"/>
        <v>-0.42499999999999716</v>
      </c>
      <c r="I86" s="2">
        <f t="shared" si="35"/>
        <v>0.63888888888888451</v>
      </c>
      <c r="J86" s="2">
        <f t="shared" si="36"/>
        <v>-0.88333333333332575</v>
      </c>
      <c r="L86" s="15">
        <f t="shared" si="25"/>
        <v>7.9365079365079486E-2</v>
      </c>
      <c r="M86" s="15">
        <f t="shared" si="37"/>
        <v>0.18333333333333712</v>
      </c>
      <c r="N86" s="15">
        <f t="shared" si="26"/>
        <v>0.10396825396825764</v>
      </c>
      <c r="P86" s="23" t="s">
        <v>33</v>
      </c>
      <c r="Q86" s="23"/>
      <c r="R86" s="23"/>
      <c r="S86" s="23"/>
      <c r="T86" s="23"/>
    </row>
    <row r="87" spans="2:24" x14ac:dyDescent="0.35">
      <c r="B87" s="15">
        <v>1.444444444444452E-2</v>
      </c>
      <c r="C87" s="15">
        <f>D56</f>
        <v>0.7083333333333357</v>
      </c>
      <c r="E87" s="4">
        <f>MEDIAN(E83:E86)</f>
        <v>-0.29166666666666474</v>
      </c>
      <c r="F87" s="4">
        <f t="shared" ref="F87:J87" si="38">MEDIAN(F83:F86)</f>
        <v>0.35000000000000142</v>
      </c>
      <c r="G87" s="4">
        <f t="shared" si="38"/>
        <v>2.7777777777777519E-2</v>
      </c>
      <c r="H87" s="4">
        <f t="shared" si="38"/>
        <v>-0.12083333333333002</v>
      </c>
      <c r="I87" s="4">
        <f t="shared" si="38"/>
        <v>0.2158333333333308</v>
      </c>
      <c r="J87" s="4">
        <f t="shared" si="38"/>
        <v>-0.375</v>
      </c>
      <c r="L87" s="15">
        <f t="shared" si="25"/>
        <v>-2.0634920634920964E-2</v>
      </c>
      <c r="M87" s="15">
        <f t="shared" si="37"/>
        <v>0.7083333333333357</v>
      </c>
      <c r="N87" s="15">
        <f t="shared" si="26"/>
        <v>0.72896825396825671</v>
      </c>
      <c r="P87" s="23"/>
      <c r="Q87" s="23"/>
      <c r="R87" s="23"/>
      <c r="S87" s="23"/>
      <c r="T87" s="23"/>
    </row>
    <row r="88" spans="2:24" x14ac:dyDescent="0.35">
      <c r="B88" s="15">
        <v>4.1111111111110522E-2</v>
      </c>
      <c r="C88" s="15">
        <f>D57</f>
        <v>-0.89166666666666572</v>
      </c>
      <c r="L88" s="15">
        <f t="shared" si="25"/>
        <v>-5.8730158730158522E-2</v>
      </c>
      <c r="M88" s="15">
        <f t="shared" si="37"/>
        <v>-0.89166666666666572</v>
      </c>
      <c r="N88" s="15">
        <f t="shared" si="26"/>
        <v>-0.8329365079365072</v>
      </c>
      <c r="P88" s="7"/>
      <c r="Q88" s="9"/>
      <c r="R88" s="9" t="s">
        <v>21</v>
      </c>
      <c r="S88" s="9" t="s">
        <v>4</v>
      </c>
      <c r="T88" s="7"/>
    </row>
    <row r="89" spans="2:24" x14ac:dyDescent="0.35">
      <c r="B89" s="15">
        <v>5.416666666666714E-2</v>
      </c>
      <c r="C89" s="15">
        <f>D62</f>
        <v>-0.42499999999999716</v>
      </c>
      <c r="E89" s="9" t="s">
        <v>19</v>
      </c>
      <c r="F89" s="16">
        <f>(J87-F87)/(I87-E87)</f>
        <v>-1.4285714285714439</v>
      </c>
      <c r="L89" s="15">
        <f t="shared" si="25"/>
        <v>-7.7380952380953882E-2</v>
      </c>
      <c r="M89" s="15">
        <f t="shared" si="37"/>
        <v>-0.42499999999999716</v>
      </c>
      <c r="N89" s="15">
        <f t="shared" si="26"/>
        <v>-0.34761904761904328</v>
      </c>
      <c r="P89" s="7"/>
      <c r="Q89" s="9" t="s">
        <v>16</v>
      </c>
      <c r="R89" s="10">
        <f>QUARTILE(Q82:T84,1)</f>
        <v>-0.33720238095237781</v>
      </c>
      <c r="S89" s="10">
        <f>D40</f>
        <v>44.724999999999994</v>
      </c>
      <c r="T89" s="7"/>
    </row>
    <row r="90" spans="2:24" x14ac:dyDescent="0.35">
      <c r="B90" s="15">
        <v>9.7500000000000697E-2</v>
      </c>
      <c r="C90" s="15">
        <f>D59</f>
        <v>-0.82499999999999574</v>
      </c>
      <c r="L90" s="15">
        <f t="shared" si="25"/>
        <v>-0.13928571428571679</v>
      </c>
      <c r="M90" s="15">
        <f t="shared" si="37"/>
        <v>-0.82499999999999574</v>
      </c>
      <c r="N90" s="15">
        <f t="shared" si="26"/>
        <v>-0.68571428571427895</v>
      </c>
      <c r="P90" s="7"/>
      <c r="Q90" s="9" t="s">
        <v>17</v>
      </c>
      <c r="R90" s="10">
        <f>QUARTILE(Q82:T84,2)</f>
        <v>4.087301587302139E-2</v>
      </c>
      <c r="S90" s="10">
        <f t="shared" ref="S90:S92" si="39">D41</f>
        <v>45.599999999999994</v>
      </c>
      <c r="T90" s="7"/>
    </row>
    <row r="91" spans="2:24" x14ac:dyDescent="0.35">
      <c r="B91" s="15">
        <v>0.15416666666666501</v>
      </c>
      <c r="C91" s="15">
        <f>D63</f>
        <v>7.4999999999995737E-2</v>
      </c>
      <c r="L91" s="15">
        <f t="shared" si="25"/>
        <v>-0.22023809523809523</v>
      </c>
      <c r="M91" s="15">
        <f t="shared" si="37"/>
        <v>7.4999999999995737E-2</v>
      </c>
      <c r="N91" s="15">
        <f t="shared" si="26"/>
        <v>0.29523809523809097</v>
      </c>
      <c r="Q91" s="9" t="s">
        <v>18</v>
      </c>
      <c r="R91" s="10">
        <f>QUARTILE(Q82:T84,3)</f>
        <v>0.29751984126983816</v>
      </c>
      <c r="S91" s="10">
        <f t="shared" si="39"/>
        <v>46.15</v>
      </c>
    </row>
    <row r="92" spans="2:24" x14ac:dyDescent="0.35">
      <c r="B92" s="15">
        <v>0.27749999999999658</v>
      </c>
      <c r="C92" s="15">
        <f>D60</f>
        <v>0.47499999999999432</v>
      </c>
      <c r="L92" s="15">
        <f t="shared" si="25"/>
        <v>-0.3964285714285708</v>
      </c>
      <c r="M92" s="15">
        <f t="shared" si="37"/>
        <v>0.47499999999999432</v>
      </c>
      <c r="N92" s="15">
        <f t="shared" si="26"/>
        <v>0.87142857142856511</v>
      </c>
      <c r="Q92" s="9" t="s">
        <v>19</v>
      </c>
      <c r="R92" s="10">
        <f>R91-R89</f>
        <v>0.63472222222221597</v>
      </c>
      <c r="S92" s="10">
        <f t="shared" si="39"/>
        <v>1.4250000000000043</v>
      </c>
    </row>
    <row r="93" spans="2:24" x14ac:dyDescent="0.35">
      <c r="B93" s="15">
        <v>0.63888888888888451</v>
      </c>
      <c r="C93" s="15">
        <f>D67</f>
        <v>-0.88333333333332575</v>
      </c>
      <c r="L93" s="15">
        <f t="shared" si="25"/>
        <v>-0.91269841269841623</v>
      </c>
      <c r="M93" s="15">
        <f t="shared" si="37"/>
        <v>-0.88333333333332575</v>
      </c>
      <c r="N93" s="15">
        <f t="shared" si="26"/>
        <v>2.9365079365090474E-2</v>
      </c>
      <c r="Q93" s="9" t="s">
        <v>20</v>
      </c>
      <c r="R93" s="27">
        <f>R92/S92</f>
        <v>0.44541910331383444</v>
      </c>
      <c r="S93" s="27"/>
    </row>
    <row r="95" spans="2:24" ht="15.75" customHeight="1" x14ac:dyDescent="0.35">
      <c r="P95" s="21" t="s">
        <v>35</v>
      </c>
      <c r="Q95" s="21"/>
      <c r="R95" s="21"/>
      <c r="S95" s="21"/>
      <c r="T95" s="21"/>
      <c r="U95" s="18"/>
      <c r="V95" s="18"/>
      <c r="W95" s="18"/>
      <c r="X95" s="18"/>
    </row>
    <row r="96" spans="2:24" x14ac:dyDescent="0.35">
      <c r="B96" s="9" t="s">
        <v>25</v>
      </c>
      <c r="C96" s="9" t="s">
        <v>26</v>
      </c>
      <c r="P96" s="21"/>
      <c r="Q96" s="21"/>
      <c r="R96" s="21"/>
      <c r="S96" s="21"/>
      <c r="T96" s="21"/>
      <c r="U96" s="18"/>
      <c r="V96" s="18"/>
      <c r="W96" s="18"/>
      <c r="X96" s="18"/>
    </row>
    <row r="97" spans="2:3" x14ac:dyDescent="0.35">
      <c r="B97" s="29">
        <v>-0.33373015873015599</v>
      </c>
      <c r="C97" s="29">
        <v>0.34166666666666856</v>
      </c>
    </row>
    <row r="98" spans="2:3" x14ac:dyDescent="0.35">
      <c r="B98" s="29">
        <v>-0.18571428571428616</v>
      </c>
      <c r="C98" s="29">
        <v>0.35000000000000142</v>
      </c>
    </row>
    <row r="99" spans="2:3" x14ac:dyDescent="0.35">
      <c r="B99" s="29">
        <v>5.2380952380952306E-2</v>
      </c>
      <c r="C99" s="29">
        <v>0.35000000000000142</v>
      </c>
    </row>
    <row r="100" spans="2:3" x14ac:dyDescent="0.35">
      <c r="B100" s="29">
        <v>0.30436507936507978</v>
      </c>
      <c r="C100" s="29">
        <v>0.5416666666666714</v>
      </c>
    </row>
    <row r="101" spans="2:3" x14ac:dyDescent="0.35">
      <c r="B101" s="29">
        <v>0.10396825396825764</v>
      </c>
      <c r="C101" s="29">
        <v>0.18333333333333712</v>
      </c>
    </row>
    <row r="102" spans="2:3" x14ac:dyDescent="0.35">
      <c r="B102" s="29">
        <v>0.72896825396825671</v>
      </c>
      <c r="C102" s="29">
        <v>0.7083333333333357</v>
      </c>
    </row>
    <row r="103" spans="2:3" x14ac:dyDescent="0.35">
      <c r="B103" s="29">
        <v>-0.8329365079365072</v>
      </c>
      <c r="C103" s="29">
        <v>-0.89166666666666572</v>
      </c>
    </row>
    <row r="104" spans="2:3" x14ac:dyDescent="0.35">
      <c r="B104" s="29">
        <v>-0.34761904761904328</v>
      </c>
      <c r="C104" s="29">
        <v>-0.42499999999999716</v>
      </c>
    </row>
    <row r="105" spans="2:3" x14ac:dyDescent="0.35">
      <c r="B105" s="29">
        <v>-0.68571428571427895</v>
      </c>
      <c r="C105" s="29">
        <v>-0.82499999999999574</v>
      </c>
    </row>
    <row r="106" spans="2:3" x14ac:dyDescent="0.35">
      <c r="B106" s="29">
        <v>0.29523809523809097</v>
      </c>
      <c r="C106" s="29">
        <v>7.4999999999995737E-2</v>
      </c>
    </row>
    <row r="107" spans="2:3" x14ac:dyDescent="0.35">
      <c r="B107" s="29">
        <v>0.87142857142856511</v>
      </c>
      <c r="C107" s="29">
        <v>0.47499999999999432</v>
      </c>
    </row>
    <row r="108" spans="2:3" x14ac:dyDescent="0.35">
      <c r="B108" s="29">
        <v>2.9365079365090474E-2</v>
      </c>
      <c r="C108" s="29">
        <v>-0.88333333333332575</v>
      </c>
    </row>
  </sheetData>
  <mergeCells count="18">
    <mergeCell ref="A53:E54"/>
    <mergeCell ref="A69:E70"/>
    <mergeCell ref="A71:E74"/>
    <mergeCell ref="A77:E78"/>
    <mergeCell ref="P95:T96"/>
    <mergeCell ref="A6:E7"/>
    <mergeCell ref="A16:E17"/>
    <mergeCell ref="A23:E24"/>
    <mergeCell ref="A30:E31"/>
    <mergeCell ref="A37:E38"/>
    <mergeCell ref="F30:F31"/>
    <mergeCell ref="C44:D44"/>
    <mergeCell ref="A46:E47"/>
    <mergeCell ref="P86:T87"/>
    <mergeCell ref="R93:S93"/>
    <mergeCell ref="E81:F81"/>
    <mergeCell ref="G81:H81"/>
    <mergeCell ref="I81:J81"/>
  </mergeCells>
  <pageMargins left="0.7" right="0.7" top="0.75" bottom="0.75" header="0.3" footer="0.3"/>
  <pageSetup orientation="portrait" r:id="rId1"/>
  <ignoredErrors>
    <ignoredError sqref="C89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Adhiyatma Nugraha</dc:creator>
  <cp:lastModifiedBy>vanessa sinurat</cp:lastModifiedBy>
  <dcterms:created xsi:type="dcterms:W3CDTF">2020-04-16T06:45:29Z</dcterms:created>
  <dcterms:modified xsi:type="dcterms:W3CDTF">2024-06-03T03:40:53Z</dcterms:modified>
</cp:coreProperties>
</file>